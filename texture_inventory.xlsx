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ures" sheetId="1" state="visible" r:id="rId1"/>
    <sheet name="Summary" sheetId="2" state="visible" r:id="rId2"/>
  </sheets>
  <definedNames>
    <definedName name="_xlnm._FilterDatabase" localSheetId="0" hidden="1">'Textures'!$A$1:$J$156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5A2A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0" fontId="1" fillId="2" borderId="0" pivotButton="0" quotePrefix="0" xfId="0"/>
    <xf numFmtId="165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F1" authorId="0" shapeId="0">
      <text>
        <t>Colours the format can hold: 16 for 4-bit, 256 for 8-bit. 16-bit textures have no palette.</t>
      </text>
    </comment>
    <comment ref="G1" authorId="0" shapeId="0">
      <text>
        <t>Distinct colours actually present in the image (includes the see-through colour 0x0000 where used). Red = 8-bit texture using 16 or fewer colours, so it would fit in 4-bit.</t>
      </text>
    </comment>
    <comment ref="H1" authorId="0" shapeId="0">
      <text>
        <t>Yes = at least one pixel is colour 0x0000, which the GPU skips.</t>
      </text>
    </comment>
    <comment ref="I1" authorId="0" shapeId="0">
      <text>
        <t>Pixel data only: width x height x bit depth / 8 / 1024. Palette not included.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11" customWidth="1" min="4" max="4"/>
    <col width="10" customWidth="1" min="5" max="5"/>
    <col width="13" customWidth="1" min="6" max="6"/>
    <col width="13" customWidth="1" min="7" max="7"/>
    <col width="12" customWidth="1" min="8" max="8"/>
    <col width="11" customWidth="1" min="9" max="9"/>
    <col width="24" customWidth="1" min="10" max="10"/>
  </cols>
  <sheetData>
    <row r="1">
      <c r="A1" s="1" t="inlineStr">
        <is>
          <t>Texture</t>
        </is>
      </c>
      <c r="B1" s="1" t="inlineStr">
        <is>
          <t>Folder</t>
        </is>
      </c>
      <c r="C1" s="1" t="inlineStr">
        <is>
          <t>Width (px)</t>
        </is>
      </c>
      <c r="D1" s="1" t="inlineStr">
        <is>
          <t>Height (px)</t>
        </is>
      </c>
      <c r="E1" s="1" t="inlineStr">
        <is>
          <t>Bit depth</t>
        </is>
      </c>
      <c r="F1" s="1" t="inlineStr">
        <is>
          <t>Palette slots</t>
        </is>
      </c>
      <c r="G1" s="1" t="inlineStr">
        <is>
          <t>Colours used</t>
        </is>
      </c>
      <c r="H1" s="1" t="inlineStr">
        <is>
          <t>Transparent</t>
        </is>
      </c>
      <c r="I1" s="1" t="inlineStr">
        <is>
          <t>VRAM (KB)</t>
        </is>
      </c>
      <c r="J1" s="1" t="inlineStr">
        <is>
          <t>Disc file</t>
        </is>
      </c>
    </row>
    <row r="2">
      <c r="A2" s="2" t="inlineStr">
        <is>
          <t>adapa_a</t>
        </is>
      </c>
      <c r="B2" s="2" t="inlineStr">
        <is>
          <t>textures/</t>
        </is>
      </c>
      <c r="C2" s="2" t="n">
        <v>256</v>
      </c>
      <c r="D2" s="2" t="n">
        <v>128</v>
      </c>
      <c r="E2" s="2" t="n">
        <v>4</v>
      </c>
      <c r="F2" s="2" t="n">
        <v>16</v>
      </c>
      <c r="G2" s="2" t="n">
        <v>10</v>
      </c>
      <c r="H2" s="2" t="inlineStr">
        <is>
          <t>Yes</t>
        </is>
      </c>
      <c r="I2" s="3">
        <f>C2*D2*E2/8/1024</f>
        <v/>
      </c>
      <c r="J2" s="2" t="inlineStr">
        <is>
          <t>ADAPAA.TIM</t>
        </is>
      </c>
    </row>
    <row r="3">
      <c r="A3" s="2" t="inlineStr">
        <is>
          <t>adapa_b</t>
        </is>
      </c>
      <c r="B3" s="2" t="inlineStr">
        <is>
          <t>textures/</t>
        </is>
      </c>
      <c r="C3" s="2" t="n">
        <v>256</v>
      </c>
      <c r="D3" s="2" t="n">
        <v>128</v>
      </c>
      <c r="E3" s="2" t="n">
        <v>4</v>
      </c>
      <c r="F3" s="2" t="n">
        <v>16</v>
      </c>
      <c r="G3" s="2" t="n">
        <v>10</v>
      </c>
      <c r="H3" s="2" t="inlineStr">
        <is>
          <t>Yes</t>
        </is>
      </c>
      <c r="I3" s="3">
        <f>C3*D3*E3/8/1024</f>
        <v/>
      </c>
      <c r="J3" s="2" t="inlineStr">
        <is>
          <t>ADAPAB.TIM</t>
        </is>
      </c>
    </row>
    <row r="4">
      <c r="A4" s="2" t="inlineStr">
        <is>
          <t>anzu_tab</t>
        </is>
      </c>
      <c r="B4" s="2" t="inlineStr">
        <is>
          <t>textures/</t>
        </is>
      </c>
      <c r="C4" s="2" t="n">
        <v>128</v>
      </c>
      <c r="D4" s="2" t="n">
        <v>128</v>
      </c>
      <c r="E4" s="2" t="n">
        <v>4</v>
      </c>
      <c r="F4" s="2" t="n">
        <v>16</v>
      </c>
      <c r="G4" s="2" t="n">
        <v>16</v>
      </c>
      <c r="H4" s="2" t="inlineStr">
        <is>
          <t>No</t>
        </is>
      </c>
      <c r="I4" s="3">
        <f>C4*D4*E4/8/1024</f>
        <v/>
      </c>
      <c r="J4" s="2" t="inlineStr">
        <is>
          <t>ANZUTAB.TIM</t>
        </is>
      </c>
    </row>
    <row r="5">
      <c r="A5" s="2" t="inlineStr">
        <is>
          <t>arms2</t>
        </is>
      </c>
      <c r="B5" s="2" t="inlineStr">
        <is>
          <t>textures/</t>
        </is>
      </c>
      <c r="C5" s="2" t="n">
        <v>128</v>
      </c>
      <c r="D5" s="2" t="n">
        <v>128</v>
      </c>
      <c r="E5" s="2" t="n">
        <v>4</v>
      </c>
      <c r="F5" s="2" t="n">
        <v>16</v>
      </c>
      <c r="G5" s="2" t="n">
        <v>16</v>
      </c>
      <c r="H5" s="2" t="inlineStr">
        <is>
          <t>No</t>
        </is>
      </c>
      <c r="I5" s="3">
        <f>C5*D5*E5/8/1024</f>
        <v/>
      </c>
      <c r="J5" s="2" t="inlineStr">
        <is>
          <t>ARMS2.TIM</t>
        </is>
      </c>
    </row>
    <row r="6">
      <c r="A6" s="2" t="inlineStr">
        <is>
          <t>asag</t>
        </is>
      </c>
      <c r="B6" s="2" t="inlineStr">
        <is>
          <t>textures/</t>
        </is>
      </c>
      <c r="C6" s="2" t="n">
        <v>128</v>
      </c>
      <c r="D6" s="2" t="n">
        <v>128</v>
      </c>
      <c r="E6" s="2" t="n">
        <v>8</v>
      </c>
      <c r="F6" s="2" t="n">
        <v>256</v>
      </c>
      <c r="G6" s="2" t="n">
        <v>83</v>
      </c>
      <c r="H6" s="2" t="inlineStr">
        <is>
          <t>No</t>
        </is>
      </c>
      <c r="I6" s="3">
        <f>C6*D6*E6/8/1024</f>
        <v/>
      </c>
      <c r="J6" s="2" t="inlineStr">
        <is>
          <t>ASGSKIN.TIM</t>
        </is>
      </c>
    </row>
    <row r="7">
      <c r="A7" s="2" t="inlineStr">
        <is>
          <t>baby names</t>
        </is>
      </c>
      <c r="B7" s="2" t="inlineStr">
        <is>
          <t>textures/</t>
        </is>
      </c>
      <c r="C7" s="2" t="n">
        <v>128</v>
      </c>
      <c r="D7" s="2" t="n">
        <v>128</v>
      </c>
      <c r="E7" s="2" t="n">
        <v>4</v>
      </c>
      <c r="F7" s="2" t="n">
        <v>16</v>
      </c>
      <c r="G7" s="2" t="n">
        <v>15</v>
      </c>
      <c r="H7" s="2" t="inlineStr">
        <is>
          <t>No</t>
        </is>
      </c>
      <c r="I7" s="3">
        <f>C7*D7*E7/8/1024</f>
        <v/>
      </c>
      <c r="J7" s="2" t="inlineStr">
        <is>
          <t>BBYNAMES.TIM</t>
        </is>
      </c>
    </row>
    <row r="8">
      <c r="A8" s="2" t="inlineStr">
        <is>
          <t>bars</t>
        </is>
      </c>
      <c r="B8" s="2" t="inlineStr">
        <is>
          <t>textures/</t>
        </is>
      </c>
      <c r="C8" s="2" t="n">
        <v>128</v>
      </c>
      <c r="D8" s="2" t="n">
        <v>128</v>
      </c>
      <c r="E8" s="2" t="n">
        <v>4</v>
      </c>
      <c r="F8" s="2" t="n">
        <v>16</v>
      </c>
      <c r="G8" s="2" t="n">
        <v>16</v>
      </c>
      <c r="H8" s="2" t="inlineStr">
        <is>
          <t>Yes</t>
        </is>
      </c>
      <c r="I8" s="3">
        <f>C8*D8*E8/8/1024</f>
        <v/>
      </c>
      <c r="J8" s="2" t="inlineStr">
        <is>
          <t>BARS.TIM</t>
        </is>
      </c>
    </row>
    <row r="9">
      <c r="A9" s="2" t="inlineStr">
        <is>
          <t>bed</t>
        </is>
      </c>
      <c r="B9" s="2" t="inlineStr">
        <is>
          <t>textures/</t>
        </is>
      </c>
      <c r="C9" s="2" t="n">
        <v>128</v>
      </c>
      <c r="D9" s="2" t="n">
        <v>128</v>
      </c>
      <c r="E9" s="2" t="n">
        <v>4</v>
      </c>
      <c r="F9" s="2" t="n">
        <v>16</v>
      </c>
      <c r="G9" s="2" t="n">
        <v>15</v>
      </c>
      <c r="H9" s="2" t="inlineStr">
        <is>
          <t>No</t>
        </is>
      </c>
      <c r="I9" s="3">
        <f>C9*D9*E9/8/1024</f>
        <v/>
      </c>
      <c r="J9" s="2" t="inlineStr">
        <is>
          <t>BED.TIM</t>
        </is>
      </c>
    </row>
    <row r="10">
      <c r="A10" s="2" t="inlineStr">
        <is>
          <t>bl_ky_stn</t>
        </is>
      </c>
      <c r="B10" s="2" t="inlineStr">
        <is>
          <t>textures/</t>
        </is>
      </c>
      <c r="C10" s="2" t="n">
        <v>32</v>
      </c>
      <c r="D10" s="2" t="n">
        <v>32</v>
      </c>
      <c r="E10" s="2" t="n">
        <v>4</v>
      </c>
      <c r="F10" s="2" t="n">
        <v>16</v>
      </c>
      <c r="G10" s="2" t="n">
        <v>12</v>
      </c>
      <c r="H10" s="2" t="inlineStr">
        <is>
          <t>Yes</t>
        </is>
      </c>
      <c r="I10" s="3">
        <f>C10*D10*E10/8/1024</f>
        <v/>
      </c>
      <c r="J10" s="2" t="inlineStr">
        <is>
          <t>BLKYSTN.TIM</t>
        </is>
      </c>
    </row>
    <row r="11">
      <c r="A11" s="2" t="inlineStr">
        <is>
          <t>bld_prl</t>
        </is>
      </c>
      <c r="B11" s="2" t="inlineStr">
        <is>
          <t>textures/</t>
        </is>
      </c>
      <c r="C11" s="2" t="n">
        <v>32</v>
      </c>
      <c r="D11" s="2" t="n">
        <v>32</v>
      </c>
      <c r="E11" s="2" t="n">
        <v>4</v>
      </c>
      <c r="F11" s="2" t="n">
        <v>16</v>
      </c>
      <c r="G11" s="2" t="n">
        <v>15</v>
      </c>
      <c r="H11" s="2" t="inlineStr">
        <is>
          <t>Yes</t>
        </is>
      </c>
      <c r="I11" s="3">
        <f>C11*D11*E11/8/1024</f>
        <v/>
      </c>
      <c r="J11" s="2" t="inlineStr">
        <is>
          <t>BLDPRL.TIM</t>
        </is>
      </c>
    </row>
    <row r="12">
      <c r="A12" s="2" t="inlineStr">
        <is>
          <t>bones</t>
        </is>
      </c>
      <c r="B12" s="2" t="inlineStr">
        <is>
          <t>textures/</t>
        </is>
      </c>
      <c r="C12" s="2" t="n">
        <v>128</v>
      </c>
      <c r="D12" s="2" t="n">
        <v>128</v>
      </c>
      <c r="E12" s="2" t="n">
        <v>4</v>
      </c>
      <c r="F12" s="2" t="n">
        <v>16</v>
      </c>
      <c r="G12" s="2" t="n">
        <v>15</v>
      </c>
      <c r="H12" s="2" t="inlineStr">
        <is>
          <t>No</t>
        </is>
      </c>
      <c r="I12" s="3">
        <f>C12*D12*E12/8/1024</f>
        <v/>
      </c>
      <c r="J12" s="2" t="inlineStr">
        <is>
          <t>BONES.TIM</t>
        </is>
      </c>
    </row>
    <row r="13">
      <c r="A13" s="2" t="inlineStr">
        <is>
          <t>bookshelf</t>
        </is>
      </c>
      <c r="B13" s="2" t="inlineStr">
        <is>
          <t>textures/</t>
        </is>
      </c>
      <c r="C13" s="2" t="n">
        <v>128</v>
      </c>
      <c r="D13" s="2" t="n">
        <v>128</v>
      </c>
      <c r="E13" s="2" t="n">
        <v>4</v>
      </c>
      <c r="F13" s="2" t="n">
        <v>16</v>
      </c>
      <c r="G13" s="2" t="n">
        <v>16</v>
      </c>
      <c r="H13" s="2" t="inlineStr">
        <is>
          <t>No</t>
        </is>
      </c>
      <c r="I13" s="3">
        <f>C13*D13*E13/8/1024</f>
        <v/>
      </c>
      <c r="J13" s="2" t="inlineStr">
        <is>
          <t>BOOKSHLF.TIM</t>
        </is>
      </c>
    </row>
    <row r="14">
      <c r="A14" s="2" t="inlineStr">
        <is>
          <t>Boss Wall</t>
        </is>
      </c>
      <c r="B14" s="2" t="inlineStr">
        <is>
          <t>textures/</t>
        </is>
      </c>
      <c r="C14" s="2" t="n">
        <v>128</v>
      </c>
      <c r="D14" s="2" t="n">
        <v>128</v>
      </c>
      <c r="E14" s="2" t="n">
        <v>8</v>
      </c>
      <c r="F14" s="2" t="n">
        <v>256</v>
      </c>
      <c r="G14" s="2" t="n">
        <v>158</v>
      </c>
      <c r="H14" s="2" t="inlineStr">
        <is>
          <t>No</t>
        </is>
      </c>
      <c r="I14" s="3">
        <f>C14*D14*E14/8/1024</f>
        <v/>
      </c>
      <c r="J14" s="2" t="inlineStr">
        <is>
          <t>ASGWALL.TIM</t>
        </is>
      </c>
    </row>
    <row r="15">
      <c r="A15" s="2" t="inlineStr">
        <is>
          <t>brick_wall</t>
        </is>
      </c>
      <c r="B15" s="2" t="inlineStr">
        <is>
          <t>textures/</t>
        </is>
      </c>
      <c r="C15" s="2" t="n">
        <v>128</v>
      </c>
      <c r="D15" s="2" t="n">
        <v>128</v>
      </c>
      <c r="E15" s="2" t="n">
        <v>4</v>
      </c>
      <c r="F15" s="2" t="n">
        <v>16</v>
      </c>
      <c r="G15" s="2" t="n">
        <v>16</v>
      </c>
      <c r="H15" s="2" t="inlineStr">
        <is>
          <t>No</t>
        </is>
      </c>
      <c r="I15" s="3">
        <f>C15*D15*E15/8/1024</f>
        <v/>
      </c>
      <c r="J15" s="2" t="inlineStr">
        <is>
          <t>BRIKWLL.TIM</t>
        </is>
      </c>
    </row>
    <row r="16">
      <c r="A16" s="2" t="inlineStr">
        <is>
          <t>catacomb inner door</t>
        </is>
      </c>
      <c r="B16" s="2" t="inlineStr">
        <is>
          <t>textures/</t>
        </is>
      </c>
      <c r="C16" s="2" t="n">
        <v>128</v>
      </c>
      <c r="D16" s="2" t="n">
        <v>128</v>
      </c>
      <c r="E16" s="2" t="n">
        <v>4</v>
      </c>
      <c r="F16" s="2" t="n">
        <v>16</v>
      </c>
      <c r="G16" s="2" t="n">
        <v>16</v>
      </c>
      <c r="H16" s="2" t="inlineStr">
        <is>
          <t>No</t>
        </is>
      </c>
      <c r="I16" s="3">
        <f>C16*D16*E16/8/1024</f>
        <v/>
      </c>
      <c r="J16" s="2" t="inlineStr">
        <is>
          <t>CTCMBDR.TIM</t>
        </is>
      </c>
    </row>
    <row r="17">
      <c r="A17" s="2" t="inlineStr">
        <is>
          <t>chain</t>
        </is>
      </c>
      <c r="B17" s="2" t="inlineStr">
        <is>
          <t>textures/</t>
        </is>
      </c>
      <c r="C17" s="2" t="n">
        <v>128</v>
      </c>
      <c r="D17" s="2" t="n">
        <v>128</v>
      </c>
      <c r="E17" s="2" t="n">
        <v>4</v>
      </c>
      <c r="F17" s="2" t="n">
        <v>16</v>
      </c>
      <c r="G17" s="2" t="n">
        <v>15</v>
      </c>
      <c r="H17" s="2" t="inlineStr">
        <is>
          <t>Yes</t>
        </is>
      </c>
      <c r="I17" s="3">
        <f>C17*D17*E17/8/1024</f>
        <v/>
      </c>
      <c r="J17" s="2" t="inlineStr">
        <is>
          <t>CHAIN.TIM</t>
        </is>
      </c>
    </row>
    <row r="18">
      <c r="A18" s="2" t="inlineStr">
        <is>
          <t>chnlnk</t>
        </is>
      </c>
      <c r="B18" s="2" t="inlineStr">
        <is>
          <t>textures/</t>
        </is>
      </c>
      <c r="C18" s="2" t="n">
        <v>128</v>
      </c>
      <c r="D18" s="2" t="n">
        <v>128</v>
      </c>
      <c r="E18" s="2" t="n">
        <v>4</v>
      </c>
      <c r="F18" s="2" t="n">
        <v>16</v>
      </c>
      <c r="G18" s="2" t="n">
        <v>15</v>
      </c>
      <c r="H18" s="2" t="inlineStr">
        <is>
          <t>Yes</t>
        </is>
      </c>
      <c r="I18" s="3">
        <f>C18*D18*E18/8/1024</f>
        <v/>
      </c>
      <c r="J18" s="2" t="inlineStr">
        <is>
          <t>CHNLNK.TIM</t>
        </is>
      </c>
    </row>
    <row r="19">
      <c r="A19" s="2" t="inlineStr">
        <is>
          <t>chnlnk_dl</t>
        </is>
      </c>
      <c r="B19" s="2" t="inlineStr">
        <is>
          <t>textures/</t>
        </is>
      </c>
      <c r="C19" s="2" t="n">
        <v>128</v>
      </c>
      <c r="D19" s="2" t="n">
        <v>128</v>
      </c>
      <c r="E19" s="2" t="n">
        <v>4</v>
      </c>
      <c r="F19" s="2" t="n">
        <v>16</v>
      </c>
      <c r="G19" s="2" t="n">
        <v>15</v>
      </c>
      <c r="H19" s="2" t="inlineStr">
        <is>
          <t>Yes</t>
        </is>
      </c>
      <c r="I19" s="3">
        <f>C19*D19*E19/8/1024</f>
        <v/>
      </c>
      <c r="J19" s="2" t="inlineStr">
        <is>
          <t>CHNLNKDL.TIM</t>
        </is>
      </c>
    </row>
    <row r="20">
      <c r="A20" s="2" t="inlineStr">
        <is>
          <t>clsd_drwr</t>
        </is>
      </c>
      <c r="B20" s="2" t="inlineStr">
        <is>
          <t>textures/</t>
        </is>
      </c>
      <c r="C20" s="2" t="n">
        <v>128</v>
      </c>
      <c r="D20" s="2" t="n">
        <v>128</v>
      </c>
      <c r="E20" s="2" t="n">
        <v>8</v>
      </c>
      <c r="F20" s="2" t="n">
        <v>256</v>
      </c>
      <c r="G20" s="2" t="n">
        <v>85</v>
      </c>
      <c r="H20" s="2" t="inlineStr">
        <is>
          <t>No</t>
        </is>
      </c>
      <c r="I20" s="3">
        <f>C20*D20*E20/8/1024</f>
        <v/>
      </c>
      <c r="J20" s="2" t="inlineStr">
        <is>
          <t>CLSDDRWR.TIM</t>
        </is>
      </c>
    </row>
    <row r="21">
      <c r="A21" s="2" t="inlineStr">
        <is>
          <t>cncrte</t>
        </is>
      </c>
      <c r="B21" s="2" t="inlineStr">
        <is>
          <t>textures/</t>
        </is>
      </c>
      <c r="C21" s="2" t="n">
        <v>128</v>
      </c>
      <c r="D21" s="2" t="n">
        <v>128</v>
      </c>
      <c r="E21" s="2" t="n">
        <v>4</v>
      </c>
      <c r="F21" s="2" t="n">
        <v>16</v>
      </c>
      <c r="G21" s="2" t="n">
        <v>11</v>
      </c>
      <c r="H21" s="2" t="inlineStr">
        <is>
          <t>No</t>
        </is>
      </c>
      <c r="I21" s="3">
        <f>C21*D21*E21/8/1024</f>
        <v/>
      </c>
      <c r="J21" s="2" t="inlineStr">
        <is>
          <t>CNCRTE.TIM</t>
        </is>
      </c>
    </row>
    <row r="22">
      <c r="A22" s="2" t="inlineStr">
        <is>
          <t>cobblestones</t>
        </is>
      </c>
      <c r="B22" s="2" t="inlineStr">
        <is>
          <t>textures/</t>
        </is>
      </c>
      <c r="C22" s="2" t="n">
        <v>128</v>
      </c>
      <c r="D22" s="2" t="n">
        <v>128</v>
      </c>
      <c r="E22" s="2" t="n">
        <v>4</v>
      </c>
      <c r="F22" s="2" t="n">
        <v>16</v>
      </c>
      <c r="G22" s="2" t="n">
        <v>14</v>
      </c>
      <c r="H22" s="2" t="inlineStr">
        <is>
          <t>No</t>
        </is>
      </c>
      <c r="I22" s="3">
        <f>C22*D22*E22/8/1024</f>
        <v/>
      </c>
      <c r="J22" s="2" t="inlineStr">
        <is>
          <t>COBBLE.TIM</t>
        </is>
      </c>
    </row>
    <row r="23">
      <c r="A23" s="2" t="inlineStr">
        <is>
          <t>con_tile</t>
        </is>
      </c>
      <c r="B23" s="2" t="inlineStr">
        <is>
          <t>textures/</t>
        </is>
      </c>
      <c r="C23" s="2" t="n">
        <v>128</v>
      </c>
      <c r="D23" s="2" t="n">
        <v>128</v>
      </c>
      <c r="E23" s="2" t="n">
        <v>4</v>
      </c>
      <c r="F23" s="2" t="n">
        <v>16</v>
      </c>
      <c r="G23" s="2" t="n">
        <v>7</v>
      </c>
      <c r="H23" s="2" t="inlineStr">
        <is>
          <t>No</t>
        </is>
      </c>
      <c r="I23" s="3">
        <f>C23*D23*E23/8/1024</f>
        <v/>
      </c>
      <c r="J23" s="2" t="inlineStr">
        <is>
          <t>CONTILE.TIM</t>
        </is>
      </c>
    </row>
    <row r="24">
      <c r="A24" s="2" t="inlineStr">
        <is>
          <t>cppr_pt</t>
        </is>
      </c>
      <c r="B24" s="2" t="inlineStr">
        <is>
          <t>textures/</t>
        </is>
      </c>
      <c r="C24" s="2" t="n">
        <v>32</v>
      </c>
      <c r="D24" s="2" t="n">
        <v>32</v>
      </c>
      <c r="E24" s="2" t="n">
        <v>4</v>
      </c>
      <c r="F24" s="2" t="n">
        <v>16</v>
      </c>
      <c r="G24" s="2" t="n">
        <v>14</v>
      </c>
      <c r="H24" s="2" t="inlineStr">
        <is>
          <t>Yes</t>
        </is>
      </c>
      <c r="I24" s="3">
        <f>C24*D24*E24/8/1024</f>
        <v/>
      </c>
      <c r="J24" s="2" t="inlineStr">
        <is>
          <t>CPPRPOT.TIM</t>
        </is>
      </c>
    </row>
    <row r="25">
      <c r="A25" s="2" t="inlineStr">
        <is>
          <t>crawler_a</t>
        </is>
      </c>
      <c r="B25" s="2" t="inlineStr">
        <is>
          <t>textures/</t>
        </is>
      </c>
      <c r="C25" s="2" t="n">
        <v>256</v>
      </c>
      <c r="D25" s="2" t="n">
        <v>128</v>
      </c>
      <c r="E25" s="2" t="n">
        <v>4</v>
      </c>
      <c r="F25" s="2" t="n">
        <v>16</v>
      </c>
      <c r="G25" s="2" t="n">
        <v>13</v>
      </c>
      <c r="H25" s="2" t="inlineStr">
        <is>
          <t>Yes</t>
        </is>
      </c>
      <c r="I25" s="3">
        <f>C25*D25*E25/8/1024</f>
        <v/>
      </c>
      <c r="J25" s="2" t="inlineStr">
        <is>
          <t>CRAWLRA.TIM</t>
        </is>
      </c>
    </row>
    <row r="26">
      <c r="A26" s="2" t="inlineStr">
        <is>
          <t>crawler_b</t>
        </is>
      </c>
      <c r="B26" s="2" t="inlineStr">
        <is>
          <t>textures/</t>
        </is>
      </c>
      <c r="C26" s="2" t="n">
        <v>256</v>
      </c>
      <c r="D26" s="2" t="n">
        <v>128</v>
      </c>
      <c r="E26" s="2" t="n">
        <v>4</v>
      </c>
      <c r="F26" s="2" t="n">
        <v>16</v>
      </c>
      <c r="G26" s="2" t="n">
        <v>13</v>
      </c>
      <c r="H26" s="2" t="inlineStr">
        <is>
          <t>Yes</t>
        </is>
      </c>
      <c r="I26" s="3">
        <f>C26*D26*E26/8/1024</f>
        <v/>
      </c>
      <c r="J26" s="2" t="inlineStr">
        <is>
          <t>CRAWLRB.TIM</t>
        </is>
      </c>
    </row>
    <row r="27">
      <c r="A27" s="2" t="inlineStr">
        <is>
          <t>creep</t>
        </is>
      </c>
      <c r="B27" s="2" t="inlineStr">
        <is>
          <t>textures/</t>
        </is>
      </c>
      <c r="C27" s="2" t="n">
        <v>64</v>
      </c>
      <c r="D27" s="2" t="n">
        <v>64</v>
      </c>
      <c r="E27" s="2" t="n">
        <v>4</v>
      </c>
      <c r="F27" s="2" t="n">
        <v>16</v>
      </c>
      <c r="G27" s="2" t="n">
        <v>14</v>
      </c>
      <c r="H27" s="2" t="inlineStr">
        <is>
          <t>Yes</t>
        </is>
      </c>
      <c r="I27" s="3">
        <f>C27*D27*E27/8/1024</f>
        <v/>
      </c>
      <c r="J27" s="2" t="inlineStr">
        <is>
          <t>CREEP.TIM</t>
        </is>
      </c>
    </row>
    <row r="28">
      <c r="A28" s="2" t="inlineStr">
        <is>
          <t>crib</t>
        </is>
      </c>
      <c r="B28" s="2" t="inlineStr">
        <is>
          <t>textures/</t>
        </is>
      </c>
      <c r="C28" s="2" t="n">
        <v>128</v>
      </c>
      <c r="D28" s="2" t="n">
        <v>128</v>
      </c>
      <c r="E28" s="2" t="n">
        <v>4</v>
      </c>
      <c r="F28" s="2" t="n">
        <v>16</v>
      </c>
      <c r="G28" s="2" t="n">
        <v>16</v>
      </c>
      <c r="H28" s="2" t="inlineStr">
        <is>
          <t>No</t>
        </is>
      </c>
      <c r="I28" s="3">
        <f>C28*D28*E28/8/1024</f>
        <v/>
      </c>
      <c r="J28" s="2" t="inlineStr">
        <is>
          <t>CRIB.TIM</t>
        </is>
      </c>
    </row>
    <row r="29">
      <c r="A29" s="2" t="inlineStr">
        <is>
          <t>crucifaxe</t>
        </is>
      </c>
      <c r="B29" s="2" t="inlineStr">
        <is>
          <t>textures/</t>
        </is>
      </c>
      <c r="C29" s="2" t="n">
        <v>64</v>
      </c>
      <c r="D29" s="2" t="n">
        <v>64</v>
      </c>
      <c r="E29" s="2" t="n">
        <v>4</v>
      </c>
      <c r="F29" s="2" t="n">
        <v>16</v>
      </c>
      <c r="G29" s="2" t="n">
        <v>8</v>
      </c>
      <c r="H29" s="2" t="inlineStr">
        <is>
          <t>Yes</t>
        </is>
      </c>
      <c r="I29" s="3">
        <f>C29*D29*E29/8/1024</f>
        <v/>
      </c>
      <c r="J29" s="2" t="inlineStr">
        <is>
          <t>CRFXICON.TIM</t>
        </is>
      </c>
    </row>
    <row r="30">
      <c r="A30" s="2" t="inlineStr">
        <is>
          <t>cuneiform _symbols</t>
        </is>
      </c>
      <c r="B30" s="2" t="inlineStr">
        <is>
          <t>textures/</t>
        </is>
      </c>
      <c r="C30" s="2" t="n">
        <v>128</v>
      </c>
      <c r="D30" s="2" t="n">
        <v>128</v>
      </c>
      <c r="E30" s="2" t="n">
        <v>8</v>
      </c>
      <c r="F30" s="2" t="n">
        <v>256</v>
      </c>
      <c r="G30" s="2" t="n">
        <v>196</v>
      </c>
      <c r="H30" s="2" t="inlineStr">
        <is>
          <t>No</t>
        </is>
      </c>
      <c r="I30" s="3">
        <f>C30*D30*E30/8/1024</f>
        <v/>
      </c>
      <c r="J30" s="2" t="inlineStr">
        <is>
          <t>CUNEISYM.TIM</t>
        </is>
      </c>
    </row>
    <row r="31">
      <c r="A31" s="2" t="inlineStr">
        <is>
          <t>dbl_dr_rg</t>
        </is>
      </c>
      <c r="B31" s="2" t="inlineStr">
        <is>
          <t>textures/</t>
        </is>
      </c>
      <c r="C31" s="2" t="n">
        <v>128</v>
      </c>
      <c r="D31" s="2" t="n">
        <v>128</v>
      </c>
      <c r="E31" s="2" t="n">
        <v>4</v>
      </c>
      <c r="F31" s="2" t="n">
        <v>16</v>
      </c>
      <c r="G31" s="2" t="n">
        <v>16</v>
      </c>
      <c r="H31" s="2" t="inlineStr">
        <is>
          <t>No</t>
        </is>
      </c>
      <c r="I31" s="3">
        <f>C31*D31*E31/8/1024</f>
        <v/>
      </c>
      <c r="J31" s="2" t="inlineStr">
        <is>
          <t>DBLDRRG.TIM</t>
        </is>
      </c>
    </row>
    <row r="32">
      <c r="A32" s="2" t="inlineStr">
        <is>
          <t>demon_dog</t>
        </is>
      </c>
      <c r="B32" s="2" t="inlineStr">
        <is>
          <t>textures/</t>
        </is>
      </c>
      <c r="C32" s="2" t="n">
        <v>192</v>
      </c>
      <c r="D32" s="2" t="n">
        <v>64</v>
      </c>
      <c r="E32" s="2" t="n">
        <v>8</v>
      </c>
      <c r="F32" s="2" t="n">
        <v>256</v>
      </c>
      <c r="G32" s="2" t="n">
        <v>58</v>
      </c>
      <c r="H32" s="2" t="inlineStr">
        <is>
          <t>Yes</t>
        </is>
      </c>
      <c r="I32" s="3">
        <f>C32*D32*E32/8/1024</f>
        <v/>
      </c>
      <c r="J32" s="2" t="inlineStr">
        <is>
          <t>DDOG.TIM</t>
        </is>
      </c>
    </row>
    <row r="33">
      <c r="A33" s="2" t="inlineStr">
        <is>
          <t>din_cl</t>
        </is>
      </c>
      <c r="B33" s="2" t="inlineStr">
        <is>
          <t>textures/</t>
        </is>
      </c>
      <c r="C33" s="2" t="n">
        <v>128</v>
      </c>
      <c r="D33" s="2" t="n">
        <v>128</v>
      </c>
      <c r="E33" s="2" t="n">
        <v>4</v>
      </c>
      <c r="F33" s="2" t="n">
        <v>16</v>
      </c>
      <c r="G33" s="2" t="n">
        <v>12</v>
      </c>
      <c r="H33" s="2" t="inlineStr">
        <is>
          <t>No</t>
        </is>
      </c>
      <c r="I33" s="3">
        <f>C33*D33*E33/8/1024</f>
        <v/>
      </c>
      <c r="J33" s="2" t="inlineStr">
        <is>
          <t>DINCL.TIM</t>
        </is>
      </c>
    </row>
    <row r="34">
      <c r="A34" s="2" t="inlineStr">
        <is>
          <t>double_door</t>
        </is>
      </c>
      <c r="B34" s="2" t="inlineStr">
        <is>
          <t>textures/</t>
        </is>
      </c>
      <c r="C34" s="2" t="n">
        <v>128</v>
      </c>
      <c r="D34" s="2" t="n">
        <v>128</v>
      </c>
      <c r="E34" s="2" t="n">
        <v>4</v>
      </c>
      <c r="F34" s="2" t="n">
        <v>16</v>
      </c>
      <c r="G34" s="2" t="n">
        <v>16</v>
      </c>
      <c r="H34" s="2" t="inlineStr">
        <is>
          <t>No</t>
        </is>
      </c>
      <c r="I34" s="3">
        <f>C34*D34*E34/8/1024</f>
        <v/>
      </c>
      <c r="J34" s="2" t="inlineStr">
        <is>
          <t>DBLDOOR.TIM</t>
        </is>
      </c>
    </row>
    <row r="35">
      <c r="A35" s="2" t="inlineStr">
        <is>
          <t>drain</t>
        </is>
      </c>
      <c r="B35" s="2" t="inlineStr">
        <is>
          <t>textures/</t>
        </is>
      </c>
      <c r="C35" s="2" t="n">
        <v>128</v>
      </c>
      <c r="D35" s="2" t="n">
        <v>128</v>
      </c>
      <c r="E35" s="2" t="n">
        <v>4</v>
      </c>
      <c r="F35" s="2" t="n">
        <v>16</v>
      </c>
      <c r="G35" s="2" t="n">
        <v>16</v>
      </c>
      <c r="H35" s="2" t="inlineStr">
        <is>
          <t>No</t>
        </is>
      </c>
      <c r="I35" s="3">
        <f>C35*D35*E35/8/1024</f>
        <v/>
      </c>
      <c r="J35" s="2" t="inlineStr">
        <is>
          <t>DRAIN.TIM</t>
        </is>
      </c>
    </row>
    <row r="36">
      <c r="A36" s="2" t="inlineStr">
        <is>
          <t>dresser</t>
        </is>
      </c>
      <c r="B36" s="2" t="inlineStr">
        <is>
          <t>textures/</t>
        </is>
      </c>
      <c r="C36" s="2" t="n">
        <v>128</v>
      </c>
      <c r="D36" s="2" t="n">
        <v>128</v>
      </c>
      <c r="E36" s="2" t="n">
        <v>4</v>
      </c>
      <c r="F36" s="2" t="n">
        <v>16</v>
      </c>
      <c r="G36" s="2" t="n">
        <v>16</v>
      </c>
      <c r="H36" s="2" t="inlineStr">
        <is>
          <t>No</t>
        </is>
      </c>
      <c r="I36" s="3">
        <f>C36*D36*E36/8/1024</f>
        <v/>
      </c>
      <c r="J36" s="2" t="inlineStr">
        <is>
          <t>DRESSER.TIM</t>
        </is>
      </c>
    </row>
    <row r="37">
      <c r="A37" s="2" t="inlineStr">
        <is>
          <t>er_logo_128</t>
        </is>
      </c>
      <c r="B37" s="2" t="inlineStr">
        <is>
          <t>textures/menus/</t>
        </is>
      </c>
      <c r="C37" s="2" t="n">
        <v>128</v>
      </c>
      <c r="D37" s="2" t="n">
        <v>128</v>
      </c>
      <c r="E37" s="2" t="n">
        <v>4</v>
      </c>
      <c r="F37" s="2" t="n">
        <v>16</v>
      </c>
      <c r="G37" s="2" t="n">
        <v>13</v>
      </c>
      <c r="H37" s="2" t="inlineStr">
        <is>
          <t>Yes</t>
        </is>
      </c>
      <c r="I37" s="3">
        <f>C37*D37*E37/8/1024</f>
        <v/>
      </c>
      <c r="J37" s="2" t="inlineStr">
        <is>
          <t>ERLOGO.TIM</t>
        </is>
      </c>
    </row>
    <row r="38">
      <c r="A38" s="2" t="inlineStr">
        <is>
          <t>flm_rnds</t>
        </is>
      </c>
      <c r="B38" s="2" t="inlineStr">
        <is>
          <t>textures/</t>
        </is>
      </c>
      <c r="C38" s="2" t="n">
        <v>64</v>
      </c>
      <c r="D38" s="2" t="n">
        <v>64</v>
      </c>
      <c r="E38" s="2" t="n">
        <v>4</v>
      </c>
      <c r="F38" s="2" t="n">
        <v>16</v>
      </c>
      <c r="G38" s="2" t="n">
        <v>13</v>
      </c>
      <c r="H38" s="2" t="inlineStr">
        <is>
          <t>Yes</t>
        </is>
      </c>
      <c r="I38" s="3">
        <f>C38*D38*E38/8/1024</f>
        <v/>
      </c>
      <c r="J38" s="2" t="inlineStr">
        <is>
          <t>FLMRNDS.TIM</t>
        </is>
      </c>
    </row>
    <row r="39">
      <c r="A39" s="2" t="inlineStr">
        <is>
          <t>flowerbed</t>
        </is>
      </c>
      <c r="B39" s="2" t="inlineStr">
        <is>
          <t>textures/</t>
        </is>
      </c>
      <c r="C39" s="2" t="n">
        <v>128</v>
      </c>
      <c r="D39" s="2" t="n">
        <v>128</v>
      </c>
      <c r="E39" s="2" t="n">
        <v>4</v>
      </c>
      <c r="F39" s="2" t="n">
        <v>16</v>
      </c>
      <c r="G39" s="2" t="n">
        <v>16</v>
      </c>
      <c r="H39" s="2" t="inlineStr">
        <is>
          <t>No</t>
        </is>
      </c>
      <c r="I39" s="3">
        <f>C39*D39*E39/8/1024</f>
        <v/>
      </c>
      <c r="J39" s="2" t="inlineStr">
        <is>
          <t>FLWRBED.TIM</t>
        </is>
      </c>
    </row>
    <row r="40">
      <c r="A40" s="2" t="inlineStr">
        <is>
          <t>fountain</t>
        </is>
      </c>
      <c r="B40" s="2" t="inlineStr">
        <is>
          <t>textures/</t>
        </is>
      </c>
      <c r="C40" s="2" t="n">
        <v>128</v>
      </c>
      <c r="D40" s="2" t="n">
        <v>128</v>
      </c>
      <c r="E40" s="2" t="n">
        <v>4</v>
      </c>
      <c r="F40" s="2" t="n">
        <v>16</v>
      </c>
      <c r="G40" s="2" t="n">
        <v>15</v>
      </c>
      <c r="H40" s="2" t="inlineStr">
        <is>
          <t>No</t>
        </is>
      </c>
      <c r="I40" s="3">
        <f>C40*D40*E40/8/1024</f>
        <v/>
      </c>
      <c r="J40" s="2" t="inlineStr">
        <is>
          <t>FOUNTAIN.TIM</t>
        </is>
      </c>
    </row>
    <row r="41">
      <c r="A41" s="2" t="inlineStr">
        <is>
          <t>frnt_dr</t>
        </is>
      </c>
      <c r="B41" s="2" t="inlineStr">
        <is>
          <t>textures/</t>
        </is>
      </c>
      <c r="C41" s="2" t="n">
        <v>128</v>
      </c>
      <c r="D41" s="2" t="n">
        <v>128</v>
      </c>
      <c r="E41" s="2" t="n">
        <v>4</v>
      </c>
      <c r="F41" s="2" t="n">
        <v>16</v>
      </c>
      <c r="G41" s="2" t="n">
        <v>16</v>
      </c>
      <c r="H41" s="2" t="inlineStr">
        <is>
          <t>No</t>
        </is>
      </c>
      <c r="I41" s="3">
        <f>C41*D41*E41/8/1024</f>
        <v/>
      </c>
      <c r="J41" s="2" t="inlineStr">
        <is>
          <t>FRNTDR.TIM</t>
        </is>
      </c>
    </row>
    <row r="42">
      <c r="A42" s="2" t="inlineStr">
        <is>
          <t>gaol door</t>
        </is>
      </c>
      <c r="B42" s="2" t="inlineStr">
        <is>
          <t>textures/</t>
        </is>
      </c>
      <c r="C42" s="2" t="n">
        <v>128</v>
      </c>
      <c r="D42" s="2" t="n">
        <v>128</v>
      </c>
      <c r="E42" s="2" t="n">
        <v>4</v>
      </c>
      <c r="F42" s="2" t="n">
        <v>16</v>
      </c>
      <c r="G42" s="2" t="n">
        <v>14</v>
      </c>
      <c r="H42" s="2" t="inlineStr">
        <is>
          <t>Yes</t>
        </is>
      </c>
      <c r="I42" s="3">
        <f>C42*D42*E42/8/1024</f>
        <v/>
      </c>
      <c r="J42" s="2" t="inlineStr">
        <is>
          <t>GAOLDOOR.TIM</t>
        </is>
      </c>
    </row>
    <row r="43">
      <c r="A43" s="2" t="inlineStr">
        <is>
          <t>gaol_mud</t>
        </is>
      </c>
      <c r="B43" s="2" t="inlineStr">
        <is>
          <t>textures/catacombs/</t>
        </is>
      </c>
      <c r="C43" s="2" t="n">
        <v>128</v>
      </c>
      <c r="D43" s="2" t="n">
        <v>128</v>
      </c>
      <c r="E43" s="2" t="n">
        <v>4</v>
      </c>
      <c r="F43" s="2" t="n">
        <v>16</v>
      </c>
      <c r="G43" s="2" t="n">
        <v>7</v>
      </c>
      <c r="H43" s="2" t="inlineStr">
        <is>
          <t>No</t>
        </is>
      </c>
      <c r="I43" s="3">
        <f>C43*D43*E43/8/1024</f>
        <v/>
      </c>
      <c r="J43" s="2" t="inlineStr">
        <is>
          <t>GAOLMUD.TIM</t>
        </is>
      </c>
    </row>
    <row r="44">
      <c r="A44" s="2" t="inlineStr">
        <is>
          <t>ghit</t>
        </is>
      </c>
      <c r="B44" s="2" t="inlineStr">
        <is>
          <t>textures/</t>
        </is>
      </c>
      <c r="C44" s="2" t="n">
        <v>16</v>
      </c>
      <c r="D44" s="2" t="n">
        <v>16</v>
      </c>
      <c r="E44" s="2" t="n">
        <v>4</v>
      </c>
      <c r="F44" s="2" t="n">
        <v>16</v>
      </c>
      <c r="G44" s="2" t="n">
        <v>5</v>
      </c>
      <c r="H44" s="2" t="inlineStr">
        <is>
          <t>Yes</t>
        </is>
      </c>
      <c r="I44" s="3">
        <f>C44*D44*E44/8/1024</f>
        <v/>
      </c>
      <c r="J44" s="2" t="inlineStr">
        <is>
          <t>GHIT.TIM</t>
        </is>
      </c>
    </row>
    <row r="45">
      <c r="A45" s="2" t="inlineStr">
        <is>
          <t>gl_ky</t>
        </is>
      </c>
      <c r="B45" s="2" t="inlineStr">
        <is>
          <t>textures/</t>
        </is>
      </c>
      <c r="C45" s="2" t="n">
        <v>32</v>
      </c>
      <c r="D45" s="2" t="n">
        <v>32</v>
      </c>
      <c r="E45" s="2" t="n">
        <v>4</v>
      </c>
      <c r="F45" s="2" t="n">
        <v>16</v>
      </c>
      <c r="G45" s="2" t="n">
        <v>16</v>
      </c>
      <c r="H45" s="2" t="inlineStr">
        <is>
          <t>Yes</t>
        </is>
      </c>
      <c r="I45" s="3">
        <f>C45*D45*E45/8/1024</f>
        <v/>
      </c>
      <c r="J45" s="2" t="inlineStr">
        <is>
          <t>GLKY.TIM</t>
        </is>
      </c>
    </row>
    <row r="46">
      <c r="A46" s="2" t="inlineStr">
        <is>
          <t>gravel_gs</t>
        </is>
      </c>
      <c r="B46" s="2" t="inlineStr">
        <is>
          <t>textures/</t>
        </is>
      </c>
      <c r="C46" s="2" t="n">
        <v>128</v>
      </c>
      <c r="D46" s="2" t="n">
        <v>128</v>
      </c>
      <c r="E46" s="2" t="n">
        <v>4</v>
      </c>
      <c r="F46" s="2" t="n">
        <v>16</v>
      </c>
      <c r="G46" s="2" t="n">
        <v>16</v>
      </c>
      <c r="H46" s="2" t="inlineStr">
        <is>
          <t>No</t>
        </is>
      </c>
      <c r="I46" s="3">
        <f>C46*D46*E46/8/1024</f>
        <v/>
      </c>
      <c r="J46" s="2" t="inlineStr">
        <is>
          <t>GRAVELGS.TIM</t>
        </is>
      </c>
    </row>
    <row r="47">
      <c r="A47" s="2" t="inlineStr">
        <is>
          <t>gravel_texture</t>
        </is>
      </c>
      <c r="B47" s="2" t="inlineStr">
        <is>
          <t>textures/</t>
        </is>
      </c>
      <c r="C47" s="2" t="n">
        <v>128</v>
      </c>
      <c r="D47" s="2" t="n">
        <v>128</v>
      </c>
      <c r="E47" s="2" t="n">
        <v>4</v>
      </c>
      <c r="F47" s="2" t="n">
        <v>16</v>
      </c>
      <c r="G47" s="2" t="n">
        <v>16</v>
      </c>
      <c r="H47" s="2" t="inlineStr">
        <is>
          <t>No</t>
        </is>
      </c>
      <c r="I47" s="3">
        <f>C47*D47*E47/8/1024</f>
        <v/>
      </c>
      <c r="J47" s="2" t="inlineStr">
        <is>
          <t>GRAVEL.TIM</t>
        </is>
      </c>
    </row>
    <row r="48">
      <c r="A48" s="2" t="inlineStr">
        <is>
          <t>graveolver</t>
        </is>
      </c>
      <c r="B48" s="2" t="inlineStr">
        <is>
          <t>textures/</t>
        </is>
      </c>
      <c r="C48" s="2" t="n">
        <v>64</v>
      </c>
      <c r="D48" s="2" t="n">
        <v>64</v>
      </c>
      <c r="E48" s="2" t="n">
        <v>4</v>
      </c>
      <c r="F48" s="2" t="n">
        <v>16</v>
      </c>
      <c r="G48" s="2" t="n">
        <v>7</v>
      </c>
      <c r="H48" s="2" t="inlineStr">
        <is>
          <t>Yes</t>
        </is>
      </c>
      <c r="I48" s="3">
        <f>C48*D48*E48/8/1024</f>
        <v/>
      </c>
      <c r="J48" s="2" t="inlineStr">
        <is>
          <t>GRAVOLVR.TIM</t>
        </is>
      </c>
    </row>
    <row r="49">
      <c r="A49" s="2" t="inlineStr">
        <is>
          <t>grdn_gte</t>
        </is>
      </c>
      <c r="B49" s="2" t="inlineStr">
        <is>
          <t>textures/</t>
        </is>
      </c>
      <c r="C49" s="2" t="n">
        <v>128</v>
      </c>
      <c r="D49" s="2" t="n">
        <v>128</v>
      </c>
      <c r="E49" s="2" t="n">
        <v>4</v>
      </c>
      <c r="F49" s="2" t="n">
        <v>16</v>
      </c>
      <c r="G49" s="2" t="n">
        <v>6</v>
      </c>
      <c r="H49" s="2" t="inlineStr">
        <is>
          <t>Yes</t>
        </is>
      </c>
      <c r="I49" s="3">
        <f>C49*D49*E49/8/1024</f>
        <v/>
      </c>
      <c r="J49" s="2" t="inlineStr">
        <is>
          <t>GRDNGTE.TIM</t>
        </is>
      </c>
    </row>
    <row r="50">
      <c r="A50" s="2" t="inlineStr">
        <is>
          <t>greenhouse door</t>
        </is>
      </c>
      <c r="B50" s="2" t="inlineStr">
        <is>
          <t>textures/</t>
        </is>
      </c>
      <c r="C50" s="2" t="n">
        <v>64</v>
      </c>
      <c r="D50" s="2" t="n">
        <v>64</v>
      </c>
      <c r="E50" s="2" t="n">
        <v>4</v>
      </c>
      <c r="F50" s="2" t="n">
        <v>16</v>
      </c>
      <c r="G50" s="2" t="n">
        <v>15</v>
      </c>
      <c r="H50" s="2" t="inlineStr">
        <is>
          <t>No</t>
        </is>
      </c>
      <c r="I50" s="3">
        <f>C50*D50*E50/8/1024</f>
        <v/>
      </c>
      <c r="J50" s="2" t="inlineStr">
        <is>
          <t>GRNHSDR.TIM</t>
        </is>
      </c>
    </row>
    <row r="51">
      <c r="A51" s="2" t="inlineStr">
        <is>
          <t>greenhouse</t>
        </is>
      </c>
      <c r="B51" s="2" t="inlineStr">
        <is>
          <t>textures/</t>
        </is>
      </c>
      <c r="C51" s="2" t="n">
        <v>128</v>
      </c>
      <c r="D51" s="2" t="n">
        <v>128</v>
      </c>
      <c r="E51" s="2" t="n">
        <v>4</v>
      </c>
      <c r="F51" s="2" t="n">
        <v>16</v>
      </c>
      <c r="G51" s="2" t="n">
        <v>16</v>
      </c>
      <c r="H51" s="2" t="inlineStr">
        <is>
          <t>No</t>
        </is>
      </c>
      <c r="I51" s="3">
        <f>C51*D51*E51/8/1024</f>
        <v/>
      </c>
      <c r="J51" s="2" t="inlineStr">
        <is>
          <t>GRNHOUSE.TIM</t>
        </is>
      </c>
    </row>
    <row r="52">
      <c r="A52" s="2" t="inlineStr">
        <is>
          <t>grinder</t>
        </is>
      </c>
      <c r="B52" s="2" t="inlineStr">
        <is>
          <t>textures/</t>
        </is>
      </c>
      <c r="C52" s="2" t="n">
        <v>64</v>
      </c>
      <c r="D52" s="2" t="n">
        <v>64</v>
      </c>
      <c r="E52" s="2" t="n">
        <v>8</v>
      </c>
      <c r="F52" s="2" t="n">
        <v>256</v>
      </c>
      <c r="G52" s="2" t="n">
        <v>79</v>
      </c>
      <c r="H52" s="2" t="inlineStr">
        <is>
          <t>No</t>
        </is>
      </c>
      <c r="I52" s="3">
        <f>C52*D52*E52/8/1024</f>
        <v/>
      </c>
      <c r="J52" s="2" t="inlineStr">
        <is>
          <t>GRINDER.TIM</t>
        </is>
      </c>
    </row>
    <row r="53">
      <c r="A53" s="2" t="inlineStr">
        <is>
          <t>grn_ky_stn</t>
        </is>
      </c>
      <c r="B53" s="2" t="inlineStr">
        <is>
          <t>textures/</t>
        </is>
      </c>
      <c r="C53" s="2" t="n">
        <v>32</v>
      </c>
      <c r="D53" s="2" t="n">
        <v>32</v>
      </c>
      <c r="E53" s="2" t="n">
        <v>4</v>
      </c>
      <c r="F53" s="2" t="n">
        <v>16</v>
      </c>
      <c r="G53" s="2" t="n">
        <v>16</v>
      </c>
      <c r="H53" s="2" t="inlineStr">
        <is>
          <t>Yes</t>
        </is>
      </c>
      <c r="I53" s="3">
        <f>C53*D53*E53/8/1024</f>
        <v/>
      </c>
      <c r="J53" s="2" t="inlineStr">
        <is>
          <t>GRNKYSTN.TIM</t>
        </is>
      </c>
    </row>
    <row r="54">
      <c r="A54" s="2" t="inlineStr">
        <is>
          <t>grss</t>
        </is>
      </c>
      <c r="B54" s="2" t="inlineStr">
        <is>
          <t>textures/</t>
        </is>
      </c>
      <c r="C54" s="2" t="n">
        <v>128</v>
      </c>
      <c r="D54" s="2" t="n">
        <v>128</v>
      </c>
      <c r="E54" s="2" t="n">
        <v>4</v>
      </c>
      <c r="F54" s="2" t="n">
        <v>16</v>
      </c>
      <c r="G54" s="2" t="n">
        <v>14</v>
      </c>
      <c r="H54" s="2" t="inlineStr">
        <is>
          <t>No</t>
        </is>
      </c>
      <c r="I54" s="3">
        <f>C54*D54*E54/8/1024</f>
        <v/>
      </c>
      <c r="J54" s="2" t="inlineStr">
        <is>
          <t>GRSS.TIM</t>
        </is>
      </c>
    </row>
    <row r="55">
      <c r="A55" s="2" t="inlineStr">
        <is>
          <t>grss_gs</t>
        </is>
      </c>
      <c r="B55" s="2" t="inlineStr">
        <is>
          <t>textures/</t>
        </is>
      </c>
      <c r="C55" s="2" t="n">
        <v>128</v>
      </c>
      <c r="D55" s="2" t="n">
        <v>128</v>
      </c>
      <c r="E55" s="2" t="n">
        <v>4</v>
      </c>
      <c r="F55" s="2" t="n">
        <v>16</v>
      </c>
      <c r="G55" s="2" t="n">
        <v>14</v>
      </c>
      <c r="H55" s="2" t="inlineStr">
        <is>
          <t>No</t>
        </is>
      </c>
      <c r="I55" s="3">
        <f>C55*D55*E55/8/1024</f>
        <v/>
      </c>
      <c r="J55" s="2" t="inlineStr">
        <is>
          <t>GRSSGS.TIM</t>
        </is>
      </c>
    </row>
    <row r="56">
      <c r="A56" s="2" t="inlineStr">
        <is>
          <t>gula codes</t>
        </is>
      </c>
      <c r="B56" s="2" t="inlineStr">
        <is>
          <t>textures/</t>
        </is>
      </c>
      <c r="C56" s="2" t="n">
        <v>128</v>
      </c>
      <c r="D56" s="2" t="n">
        <v>128</v>
      </c>
      <c r="E56" s="2" t="n">
        <v>4</v>
      </c>
      <c r="F56" s="2" t="n">
        <v>16</v>
      </c>
      <c r="G56" s="2" t="n">
        <v>13</v>
      </c>
      <c r="H56" s="2" t="inlineStr">
        <is>
          <t>No</t>
        </is>
      </c>
      <c r="I56" s="3">
        <f>C56*D56*E56/8/1024</f>
        <v/>
      </c>
      <c r="J56" s="2" t="inlineStr">
        <is>
          <t>GULACODE.TIM</t>
        </is>
      </c>
    </row>
    <row r="57">
      <c r="A57" s="2" t="inlineStr">
        <is>
          <t>gula tablet</t>
        </is>
      </c>
      <c r="B57" s="2" t="inlineStr">
        <is>
          <t>textures/</t>
        </is>
      </c>
      <c r="C57" s="2" t="n">
        <v>128</v>
      </c>
      <c r="D57" s="2" t="n">
        <v>128</v>
      </c>
      <c r="E57" s="2" t="n">
        <v>4</v>
      </c>
      <c r="F57" s="2" t="n">
        <v>16</v>
      </c>
      <c r="G57" s="2" t="n">
        <v>13</v>
      </c>
      <c r="H57" s="2" t="inlineStr">
        <is>
          <t>Yes</t>
        </is>
      </c>
      <c r="I57" s="3">
        <f>C57*D57*E57/8/1024</f>
        <v/>
      </c>
      <c r="J57" s="2" t="inlineStr">
        <is>
          <t>GULATBLT.TIM</t>
        </is>
      </c>
    </row>
    <row r="58">
      <c r="A58" s="2" t="inlineStr">
        <is>
          <t>gula_a</t>
        </is>
      </c>
      <c r="B58" s="2" t="inlineStr">
        <is>
          <t>textures/catacombs/</t>
        </is>
      </c>
      <c r="C58" s="2" t="n">
        <v>256</v>
      </c>
      <c r="D58" s="2" t="n">
        <v>128</v>
      </c>
      <c r="E58" s="2" t="n">
        <v>8</v>
      </c>
      <c r="F58" s="2" t="n">
        <v>256</v>
      </c>
      <c r="G58" s="2" t="n">
        <v>99</v>
      </c>
      <c r="H58" s="2" t="inlineStr">
        <is>
          <t>Yes</t>
        </is>
      </c>
      <c r="I58" s="3">
        <f>C58*D58*E58/8/1024</f>
        <v/>
      </c>
      <c r="J58" s="2" t="inlineStr">
        <is>
          <t>GULAA.TIM</t>
        </is>
      </c>
    </row>
    <row r="59">
      <c r="A59" s="2" t="inlineStr">
        <is>
          <t>gula_b</t>
        </is>
      </c>
      <c r="B59" s="2" t="inlineStr">
        <is>
          <t>textures/catacombs/</t>
        </is>
      </c>
      <c r="C59" s="2" t="n">
        <v>256</v>
      </c>
      <c r="D59" s="2" t="n">
        <v>128</v>
      </c>
      <c r="E59" s="2" t="n">
        <v>8</v>
      </c>
      <c r="F59" s="2" t="n">
        <v>256</v>
      </c>
      <c r="G59" s="2" t="n">
        <v>99</v>
      </c>
      <c r="H59" s="2" t="inlineStr">
        <is>
          <t>Yes</t>
        </is>
      </c>
      <c r="I59" s="3">
        <f>C59*D59*E59/8/1024</f>
        <v/>
      </c>
      <c r="J59" s="2" t="inlineStr">
        <is>
          <t>GULAB.TIM</t>
        </is>
      </c>
    </row>
    <row r="60">
      <c r="A60" s="2" t="inlineStr">
        <is>
          <t>guts</t>
        </is>
      </c>
      <c r="B60" s="2" t="inlineStr">
        <is>
          <t>textures/</t>
        </is>
      </c>
      <c r="C60" s="2" t="n">
        <v>128</v>
      </c>
      <c r="D60" s="2" t="n">
        <v>128</v>
      </c>
      <c r="E60" s="2" t="n">
        <v>4</v>
      </c>
      <c r="F60" s="2" t="n">
        <v>16</v>
      </c>
      <c r="G60" s="2" t="n">
        <v>16</v>
      </c>
      <c r="H60" s="2" t="inlineStr">
        <is>
          <t>No</t>
        </is>
      </c>
      <c r="I60" s="3">
        <f>C60*D60*E60/8/1024</f>
        <v/>
      </c>
      <c r="J60" s="2" t="inlineStr">
        <is>
          <t>GUTS.TIM</t>
        </is>
      </c>
    </row>
    <row r="61">
      <c r="A61" s="2" t="inlineStr">
        <is>
          <t>hadad_idle_64</t>
        </is>
      </c>
      <c r="B61" s="2" t="inlineStr">
        <is>
          <t>textures/</t>
        </is>
      </c>
      <c r="C61" s="2" t="n">
        <v>128</v>
      </c>
      <c r="D61" s="2" t="n">
        <v>128</v>
      </c>
      <c r="E61" s="2" t="n">
        <v>4</v>
      </c>
      <c r="F61" s="2" t="n">
        <v>16</v>
      </c>
      <c r="G61" s="2" t="n">
        <v>13</v>
      </c>
      <c r="H61" s="2" t="inlineStr">
        <is>
          <t>Yes</t>
        </is>
      </c>
      <c r="I61" s="3">
        <f>C61*D61*E61/8/1024</f>
        <v/>
      </c>
      <c r="J61" s="2" t="inlineStr">
        <is>
          <t>HADIDLE.TIM</t>
        </is>
      </c>
    </row>
    <row r="62">
      <c r="A62" s="2" t="inlineStr">
        <is>
          <t>hadad_stp1_64</t>
        </is>
      </c>
      <c r="B62" s="2" t="inlineStr">
        <is>
          <t>textures/</t>
        </is>
      </c>
      <c r="C62" s="2" t="n">
        <v>128</v>
      </c>
      <c r="D62" s="2" t="n">
        <v>128</v>
      </c>
      <c r="E62" s="2" t="n">
        <v>4</v>
      </c>
      <c r="F62" s="2" t="n">
        <v>16</v>
      </c>
      <c r="G62" s="2" t="n">
        <v>14</v>
      </c>
      <c r="H62" s="2" t="inlineStr">
        <is>
          <t>Yes</t>
        </is>
      </c>
      <c r="I62" s="3">
        <f>C62*D62*E62/8/1024</f>
        <v/>
      </c>
      <c r="J62" s="2" t="inlineStr">
        <is>
          <t>HADSTP1.TIM</t>
        </is>
      </c>
    </row>
    <row r="63">
      <c r="A63" s="2" t="inlineStr">
        <is>
          <t>hadad_stp2_64</t>
        </is>
      </c>
      <c r="B63" s="2" t="inlineStr">
        <is>
          <t>textures/</t>
        </is>
      </c>
      <c r="C63" s="2" t="n">
        <v>128</v>
      </c>
      <c r="D63" s="2" t="n">
        <v>128</v>
      </c>
      <c r="E63" s="2" t="n">
        <v>4</v>
      </c>
      <c r="F63" s="2" t="n">
        <v>16</v>
      </c>
      <c r="G63" s="2" t="n">
        <v>13</v>
      </c>
      <c r="H63" s="2" t="inlineStr">
        <is>
          <t>Yes</t>
        </is>
      </c>
      <c r="I63" s="3">
        <f>C63*D63*E63/8/1024</f>
        <v/>
      </c>
      <c r="J63" s="2" t="inlineStr">
        <is>
          <t>HADSTP2.TIM</t>
        </is>
      </c>
    </row>
    <row r="64">
      <c r="A64" s="2" t="inlineStr">
        <is>
          <t>hatch</t>
        </is>
      </c>
      <c r="B64" s="2" t="inlineStr">
        <is>
          <t>textures/</t>
        </is>
      </c>
      <c r="C64" s="2" t="n">
        <v>128</v>
      </c>
      <c r="D64" s="2" t="n">
        <v>128</v>
      </c>
      <c r="E64" s="2" t="n">
        <v>4</v>
      </c>
      <c r="F64" s="2" t="n">
        <v>16</v>
      </c>
      <c r="G64" s="2" t="n">
        <v>12</v>
      </c>
      <c r="H64" s="2" t="inlineStr">
        <is>
          <t>Yes</t>
        </is>
      </c>
      <c r="I64" s="3">
        <f>C64*D64*E64/8/1024</f>
        <v/>
      </c>
      <c r="J64" s="2" t="inlineStr">
        <is>
          <t>HATCH.TIM</t>
        </is>
      </c>
    </row>
    <row r="65">
      <c r="A65" s="2" t="inlineStr">
        <is>
          <t>hatch_key</t>
        </is>
      </c>
      <c r="B65" s="2" t="inlineStr">
        <is>
          <t>textures/</t>
        </is>
      </c>
      <c r="C65" s="2" t="n">
        <v>32</v>
      </c>
      <c r="D65" s="2" t="n">
        <v>32</v>
      </c>
      <c r="E65" s="2" t="n">
        <v>4</v>
      </c>
      <c r="F65" s="2" t="n">
        <v>16</v>
      </c>
      <c r="G65" s="2" t="n">
        <v>10</v>
      </c>
      <c r="H65" s="2" t="inlineStr">
        <is>
          <t>Yes</t>
        </is>
      </c>
      <c r="I65" s="3">
        <f>C65*D65*E65/8/1024</f>
        <v/>
      </c>
      <c r="J65" s="2" t="inlineStr">
        <is>
          <t>HATCHKEY.TIM</t>
        </is>
      </c>
    </row>
    <row r="66">
      <c r="A66" s="2" t="inlineStr">
        <is>
          <t>heads</t>
        </is>
      </c>
      <c r="B66" s="2" t="inlineStr">
        <is>
          <t>textures/</t>
        </is>
      </c>
      <c r="C66" s="2" t="n">
        <v>128</v>
      </c>
      <c r="D66" s="2" t="n">
        <v>128</v>
      </c>
      <c r="E66" s="2" t="n">
        <v>4</v>
      </c>
      <c r="F66" s="2" t="n">
        <v>16</v>
      </c>
      <c r="G66" s="2" t="n">
        <v>16</v>
      </c>
      <c r="H66" s="2" t="inlineStr">
        <is>
          <t>No</t>
        </is>
      </c>
      <c r="I66" s="3">
        <f>C66*D66*E66/8/1024</f>
        <v/>
      </c>
      <c r="J66" s="2" t="inlineStr">
        <is>
          <t>HEADS.TIM</t>
        </is>
      </c>
    </row>
    <row r="67">
      <c r="A67" s="2" t="inlineStr">
        <is>
          <t>hedge</t>
        </is>
      </c>
      <c r="B67" s="2" t="inlineStr">
        <is>
          <t>textures/</t>
        </is>
      </c>
      <c r="C67" s="2" t="n">
        <v>128</v>
      </c>
      <c r="D67" s="2" t="n">
        <v>128</v>
      </c>
      <c r="E67" s="2" t="n">
        <v>4</v>
      </c>
      <c r="F67" s="2" t="n">
        <v>16</v>
      </c>
      <c r="G67" s="2" t="n">
        <v>15</v>
      </c>
      <c r="H67" s="2" t="inlineStr">
        <is>
          <t>No</t>
        </is>
      </c>
      <c r="I67" s="3">
        <f>C67*D67*E67/8/1024</f>
        <v/>
      </c>
      <c r="J67" s="2" t="inlineStr">
        <is>
          <t>HEDGE.TIM</t>
        </is>
      </c>
    </row>
    <row r="68">
      <c r="A68" s="2" t="inlineStr">
        <is>
          <t>helluminator</t>
        </is>
      </c>
      <c r="B68" s="2" t="inlineStr">
        <is>
          <t>textures/</t>
        </is>
      </c>
      <c r="C68" s="2" t="n">
        <v>64</v>
      </c>
      <c r="D68" s="2" t="n">
        <v>64</v>
      </c>
      <c r="E68" s="2" t="n">
        <v>4</v>
      </c>
      <c r="F68" s="2" t="n">
        <v>16</v>
      </c>
      <c r="G68" s="2" t="n">
        <v>9</v>
      </c>
      <c r="H68" s="2" t="inlineStr">
        <is>
          <t>Yes</t>
        </is>
      </c>
      <c r="I68" s="3">
        <f>C68*D68*E68/8/1024</f>
        <v/>
      </c>
      <c r="J68" s="2" t="inlineStr">
        <is>
          <t>HELLUMIN.TIM</t>
        </is>
      </c>
    </row>
    <row r="69">
      <c r="A69" s="2" t="inlineStr">
        <is>
          <t>hud</t>
        </is>
      </c>
      <c r="B69" s="2" t="inlineStr">
        <is>
          <t>textures/</t>
        </is>
      </c>
      <c r="C69" s="2" t="n">
        <v>320</v>
      </c>
      <c r="D69" s="2" t="n">
        <v>56</v>
      </c>
      <c r="E69" s="2" t="n">
        <v>4</v>
      </c>
      <c r="F69" s="2" t="n">
        <v>16</v>
      </c>
      <c r="G69" s="2" t="n">
        <v>5</v>
      </c>
      <c r="H69" s="2" t="inlineStr">
        <is>
          <t>Yes</t>
        </is>
      </c>
      <c r="I69" s="3">
        <f>C69*D69*E69/8/1024</f>
        <v/>
      </c>
      <c r="J69" s="2" t="inlineStr">
        <is>
          <t>HUD.TIM</t>
        </is>
      </c>
    </row>
    <row r="70">
      <c r="A70" s="2" t="inlineStr">
        <is>
          <t>incinerator</t>
        </is>
      </c>
      <c r="B70" s="2" t="inlineStr">
        <is>
          <t>textures/catacombs/</t>
        </is>
      </c>
      <c r="C70" s="2" t="n">
        <v>128</v>
      </c>
      <c r="D70" s="2" t="n">
        <v>128</v>
      </c>
      <c r="E70" s="2" t="n">
        <v>8</v>
      </c>
      <c r="F70" s="2" t="n">
        <v>256</v>
      </c>
      <c r="G70" s="2" t="n">
        <v>114</v>
      </c>
      <c r="H70" s="2" t="inlineStr">
        <is>
          <t>No</t>
        </is>
      </c>
      <c r="I70" s="3">
        <f>C70*D70*E70/8/1024</f>
        <v/>
      </c>
      <c r="J70" s="2" t="inlineStr">
        <is>
          <t>INCINPRP.TIM</t>
        </is>
      </c>
    </row>
    <row r="71">
      <c r="A71" s="2" t="inlineStr">
        <is>
          <t>inr_dbl_dr</t>
        </is>
      </c>
      <c r="B71" s="2" t="inlineStr">
        <is>
          <t>textures/</t>
        </is>
      </c>
      <c r="C71" s="2" t="n">
        <v>128</v>
      </c>
      <c r="D71" s="2" t="n">
        <v>128</v>
      </c>
      <c r="E71" s="2" t="n">
        <v>4</v>
      </c>
      <c r="F71" s="2" t="n">
        <v>16</v>
      </c>
      <c r="G71" s="2" t="n">
        <v>16</v>
      </c>
      <c r="H71" s="2" t="inlineStr">
        <is>
          <t>No</t>
        </is>
      </c>
      <c r="I71" s="3">
        <f>C71*D71*E71/8/1024</f>
        <v/>
      </c>
      <c r="J71" s="2" t="inlineStr">
        <is>
          <t>INRDBLDR.TIM</t>
        </is>
      </c>
    </row>
    <row r="72">
      <c r="A72" s="2" t="inlineStr">
        <is>
          <t>kchn_tile</t>
        </is>
      </c>
      <c r="B72" s="2" t="inlineStr">
        <is>
          <t>textures/</t>
        </is>
      </c>
      <c r="C72" s="2" t="n">
        <v>128</v>
      </c>
      <c r="D72" s="2" t="n">
        <v>128</v>
      </c>
      <c r="E72" s="2" t="n">
        <v>4</v>
      </c>
      <c r="F72" s="2" t="n">
        <v>16</v>
      </c>
      <c r="G72" s="2" t="n">
        <v>16</v>
      </c>
      <c r="H72" s="2" t="inlineStr">
        <is>
          <t>No</t>
        </is>
      </c>
      <c r="I72" s="3">
        <f>C72*D72*E72/8/1024</f>
        <v/>
      </c>
      <c r="J72" s="2" t="inlineStr">
        <is>
          <t>KCHNTILE.TIM</t>
        </is>
      </c>
    </row>
    <row r="73">
      <c r="A73" s="2" t="inlineStr">
        <is>
          <t>kchn_wl</t>
        </is>
      </c>
      <c r="B73" s="2" t="inlineStr">
        <is>
          <t>textures/</t>
        </is>
      </c>
      <c r="C73" s="2" t="n">
        <v>128</v>
      </c>
      <c r="D73" s="2" t="n">
        <v>128</v>
      </c>
      <c r="E73" s="2" t="n">
        <v>4</v>
      </c>
      <c r="F73" s="2" t="n">
        <v>16</v>
      </c>
      <c r="G73" s="2" t="n">
        <v>16</v>
      </c>
      <c r="H73" s="2" t="inlineStr">
        <is>
          <t>No</t>
        </is>
      </c>
      <c r="I73" s="3">
        <f>C73*D73*E73/8/1024</f>
        <v/>
      </c>
      <c r="J73" s="2" t="inlineStr">
        <is>
          <t>KCHNWL.TIM</t>
        </is>
      </c>
    </row>
    <row r="74">
      <c r="A74" s="2" t="inlineStr">
        <is>
          <t>key</t>
        </is>
      </c>
      <c r="B74" s="2" t="inlineStr">
        <is>
          <t>textures/</t>
        </is>
      </c>
      <c r="C74" s="2" t="n">
        <v>32</v>
      </c>
      <c r="D74" s="2" t="n">
        <v>32</v>
      </c>
      <c r="E74" s="2" t="n">
        <v>4</v>
      </c>
      <c r="F74" s="2" t="n">
        <v>16</v>
      </c>
      <c r="G74" s="2" t="n">
        <v>6</v>
      </c>
      <c r="H74" s="2" t="inlineStr">
        <is>
          <t>Yes</t>
        </is>
      </c>
      <c r="I74" s="3">
        <f>C74*D74*E74/8/1024</f>
        <v/>
      </c>
      <c r="J74" s="2" t="inlineStr">
        <is>
          <t>KEY.TIM</t>
        </is>
      </c>
    </row>
    <row r="75">
      <c r="A75" s="2" t="inlineStr">
        <is>
          <t>ladder</t>
        </is>
      </c>
      <c r="B75" s="2" t="inlineStr">
        <is>
          <t>textures/</t>
        </is>
      </c>
      <c r="C75" s="2" t="n">
        <v>128</v>
      </c>
      <c r="D75" s="2" t="n">
        <v>128</v>
      </c>
      <c r="E75" s="2" t="n">
        <v>4</v>
      </c>
      <c r="F75" s="2" t="n">
        <v>16</v>
      </c>
      <c r="G75" s="2" t="n">
        <v>16</v>
      </c>
      <c r="H75" s="2" t="inlineStr">
        <is>
          <t>No</t>
        </is>
      </c>
      <c r="I75" s="3">
        <f>C75*D75*E75/8/1024</f>
        <v/>
      </c>
      <c r="J75" s="2" t="inlineStr">
        <is>
          <t>LADDER.TIM</t>
        </is>
      </c>
    </row>
    <row r="76">
      <c r="A76" s="2" t="inlineStr">
        <is>
          <t>lamashtu arm</t>
        </is>
      </c>
      <c r="B76" s="2" t="inlineStr">
        <is>
          <t>textures/</t>
        </is>
      </c>
      <c r="C76" s="2" t="n">
        <v>128</v>
      </c>
      <c r="D76" s="2" t="n">
        <v>128</v>
      </c>
      <c r="E76" s="2" t="n">
        <v>4</v>
      </c>
      <c r="F76" s="2" t="n">
        <v>16</v>
      </c>
      <c r="G76" s="2" t="n">
        <v>15</v>
      </c>
      <c r="H76" s="2" t="inlineStr">
        <is>
          <t>No</t>
        </is>
      </c>
      <c r="I76" s="3">
        <f>C76*D76*E76/8/1024</f>
        <v/>
      </c>
      <c r="J76" s="2" t="inlineStr">
        <is>
          <t>LMSHARM.TIM</t>
        </is>
      </c>
    </row>
    <row r="77">
      <c r="A77" s="2" t="inlineStr">
        <is>
          <t>lamashtu creep</t>
        </is>
      </c>
      <c r="B77" s="2" t="inlineStr">
        <is>
          <t>textures/</t>
        </is>
      </c>
      <c r="C77" s="2" t="n">
        <v>64</v>
      </c>
      <c r="D77" s="2" t="n">
        <v>64</v>
      </c>
      <c r="E77" s="2" t="n">
        <v>8</v>
      </c>
      <c r="F77" s="2" t="n">
        <v>256</v>
      </c>
      <c r="G77" s="2" t="n">
        <v>152</v>
      </c>
      <c r="H77" s="2" t="inlineStr">
        <is>
          <t>Yes</t>
        </is>
      </c>
      <c r="I77" s="3">
        <f>C77*D77*E77/8/1024</f>
        <v/>
      </c>
      <c r="J77" s="2" t="inlineStr">
        <is>
          <t>LMSCREEP.TIM</t>
        </is>
      </c>
    </row>
    <row r="78">
      <c r="A78" s="2" t="inlineStr">
        <is>
          <t>lamashtu pearl</t>
        </is>
      </c>
      <c r="B78" s="2" t="inlineStr">
        <is>
          <t>textures/</t>
        </is>
      </c>
      <c r="C78" s="2" t="n">
        <v>128</v>
      </c>
      <c r="D78" s="2" t="n">
        <v>128</v>
      </c>
      <c r="E78" s="2" t="n">
        <v>4</v>
      </c>
      <c r="F78" s="2" t="n">
        <v>16</v>
      </c>
      <c r="G78" s="2" t="n">
        <v>16</v>
      </c>
      <c r="H78" s="2" t="inlineStr">
        <is>
          <t>No</t>
        </is>
      </c>
      <c r="I78" s="3">
        <f>C78*D78*E78/8/1024</f>
        <v/>
      </c>
      <c r="J78" s="2" t="inlineStr">
        <is>
          <t>LMSPEARL.TIM</t>
        </is>
      </c>
    </row>
    <row r="79">
      <c r="A79" s="2" t="inlineStr">
        <is>
          <t>lamashtu tablet</t>
        </is>
      </c>
      <c r="B79" s="2" t="inlineStr">
        <is>
          <t>textures/</t>
        </is>
      </c>
      <c r="C79" s="2" t="n">
        <v>128</v>
      </c>
      <c r="D79" s="2" t="n">
        <v>128</v>
      </c>
      <c r="E79" s="2" t="n">
        <v>4</v>
      </c>
      <c r="F79" s="2" t="n">
        <v>16</v>
      </c>
      <c r="G79" s="2" t="n">
        <v>14</v>
      </c>
      <c r="H79" s="2" t="inlineStr">
        <is>
          <t>No</t>
        </is>
      </c>
      <c r="I79" s="3">
        <f>C79*D79*E79/8/1024</f>
        <v/>
      </c>
      <c r="J79" s="2" t="inlineStr">
        <is>
          <t>LMSHTBLT.TIM</t>
        </is>
      </c>
    </row>
    <row r="80">
      <c r="A80" s="2" t="inlineStr">
        <is>
          <t>lamashtu</t>
        </is>
      </c>
      <c r="B80" s="2" t="inlineStr">
        <is>
          <t>textures/</t>
        </is>
      </c>
      <c r="C80" s="2" t="n">
        <v>128</v>
      </c>
      <c r="D80" s="2" t="n">
        <v>128</v>
      </c>
      <c r="E80" s="2" t="n">
        <v>4</v>
      </c>
      <c r="F80" s="2" t="n">
        <v>16</v>
      </c>
      <c r="G80" s="2" t="n">
        <v>16</v>
      </c>
      <c r="H80" s="2" t="inlineStr">
        <is>
          <t>No</t>
        </is>
      </c>
      <c r="I80" s="3">
        <f>C80*D80*E80/8/1024</f>
        <v/>
      </c>
      <c r="J80" s="2" t="inlineStr">
        <is>
          <t>LAMASHTU.TIM</t>
        </is>
      </c>
    </row>
    <row r="81">
      <c r="A81" s="2" t="inlineStr">
        <is>
          <t>legs</t>
        </is>
      </c>
      <c r="B81" s="2" t="inlineStr">
        <is>
          <t>textures/</t>
        </is>
      </c>
      <c r="C81" s="2" t="n">
        <v>128</v>
      </c>
      <c r="D81" s="2" t="n">
        <v>128</v>
      </c>
      <c r="E81" s="2" t="n">
        <v>4</v>
      </c>
      <c r="F81" s="2" t="n">
        <v>16</v>
      </c>
      <c r="G81" s="2" t="n">
        <v>16</v>
      </c>
      <c r="H81" s="2" t="inlineStr">
        <is>
          <t>No</t>
        </is>
      </c>
      <c r="I81" s="3">
        <f>C81*D81*E81/8/1024</f>
        <v/>
      </c>
      <c r="J81" s="2" t="inlineStr">
        <is>
          <t>LEGS.TIM</t>
        </is>
      </c>
    </row>
    <row r="82">
      <c r="A82" s="2" t="inlineStr">
        <is>
          <t>loculus</t>
        </is>
      </c>
      <c r="B82" s="2" t="inlineStr">
        <is>
          <t>textures/</t>
        </is>
      </c>
      <c r="C82" s="2" t="n">
        <v>128</v>
      </c>
      <c r="D82" s="2" t="n">
        <v>128</v>
      </c>
      <c r="E82" s="2" t="n">
        <v>4</v>
      </c>
      <c r="F82" s="2" t="n">
        <v>16</v>
      </c>
      <c r="G82" s="2" t="n">
        <v>16</v>
      </c>
      <c r="H82" s="2" t="inlineStr">
        <is>
          <t>No</t>
        </is>
      </c>
      <c r="I82" s="3">
        <f>C82*D82*E82/8/1024</f>
        <v/>
      </c>
      <c r="J82" s="2" t="inlineStr">
        <is>
          <t>LOCULUS.TIM</t>
        </is>
      </c>
    </row>
    <row r="83">
      <c r="A83" s="2" t="inlineStr">
        <is>
          <t>ls_atk</t>
        </is>
      </c>
      <c r="B83" s="2" t="inlineStr">
        <is>
          <t>textures/</t>
        </is>
      </c>
      <c r="C83" s="2" t="n">
        <v>128</v>
      </c>
      <c r="D83" s="2" t="n">
        <v>96</v>
      </c>
      <c r="E83" s="2" t="n">
        <v>4</v>
      </c>
      <c r="F83" s="2" t="n">
        <v>16</v>
      </c>
      <c r="G83" s="2" t="n">
        <v>12</v>
      </c>
      <c r="H83" s="2" t="inlineStr">
        <is>
          <t>Yes</t>
        </is>
      </c>
      <c r="I83" s="3">
        <f>C83*D83*E83/8/1024</f>
        <v/>
      </c>
      <c r="J83" s="2" t="inlineStr">
        <is>
          <t>LSATK.TIM</t>
        </is>
      </c>
    </row>
    <row r="84">
      <c r="A84" s="2" t="inlineStr">
        <is>
          <t>ls_idle</t>
        </is>
      </c>
      <c r="B84" s="2" t="inlineStr">
        <is>
          <t>textures/</t>
        </is>
      </c>
      <c r="C84" s="2" t="n">
        <v>64</v>
      </c>
      <c r="D84" s="2" t="n">
        <v>96</v>
      </c>
      <c r="E84" s="2" t="n">
        <v>4</v>
      </c>
      <c r="F84" s="2" t="n">
        <v>16</v>
      </c>
      <c r="G84" s="2" t="n">
        <v>12</v>
      </c>
      <c r="H84" s="2" t="inlineStr">
        <is>
          <t>Yes</t>
        </is>
      </c>
      <c r="I84" s="3">
        <f>C84*D84*E84/8/1024</f>
        <v/>
      </c>
      <c r="J84" s="2" t="inlineStr">
        <is>
          <t>LSIDLE.TIM</t>
        </is>
      </c>
    </row>
    <row r="85">
      <c r="A85" s="2" t="inlineStr">
        <is>
          <t>lumberer_a</t>
        </is>
      </c>
      <c r="B85" s="2" t="inlineStr">
        <is>
          <t>textures/</t>
        </is>
      </c>
      <c r="C85" s="2" t="n">
        <v>256</v>
      </c>
      <c r="D85" s="2" t="n">
        <v>128</v>
      </c>
      <c r="E85" s="2" t="n">
        <v>4</v>
      </c>
      <c r="F85" s="2" t="n">
        <v>16</v>
      </c>
      <c r="G85" s="2" t="n">
        <v>13</v>
      </c>
      <c r="H85" s="2" t="inlineStr">
        <is>
          <t>Yes</t>
        </is>
      </c>
      <c r="I85" s="3">
        <f>C85*D85*E85/8/1024</f>
        <v/>
      </c>
      <c r="J85" s="2" t="inlineStr">
        <is>
          <t>LUMBERA.TIM</t>
        </is>
      </c>
    </row>
    <row r="86">
      <c r="A86" s="2" t="inlineStr">
        <is>
          <t>lumberer_b</t>
        </is>
      </c>
      <c r="B86" s="2" t="inlineStr">
        <is>
          <t>textures/</t>
        </is>
      </c>
      <c r="C86" s="2" t="n">
        <v>256</v>
      </c>
      <c r="D86" s="2" t="n">
        <v>128</v>
      </c>
      <c r="E86" s="2" t="n">
        <v>4</v>
      </c>
      <c r="F86" s="2" t="n">
        <v>16</v>
      </c>
      <c r="G86" s="2" t="n">
        <v>14</v>
      </c>
      <c r="H86" s="2" t="inlineStr">
        <is>
          <t>Yes</t>
        </is>
      </c>
      <c r="I86" s="3">
        <f>C86*D86*E86/8/1024</f>
        <v/>
      </c>
      <c r="J86" s="2" t="inlineStr">
        <is>
          <t>LUMBERB.TIM</t>
        </is>
      </c>
    </row>
    <row r="87">
      <c r="A87" s="2" t="inlineStr">
        <is>
          <t>maggot</t>
        </is>
      </c>
      <c r="B87" s="2" t="inlineStr">
        <is>
          <t>textures/catacombs/</t>
        </is>
      </c>
      <c r="C87" s="2" t="n">
        <v>128</v>
      </c>
      <c r="D87" s="2" t="n">
        <v>64</v>
      </c>
      <c r="E87" s="2" t="n">
        <v>4</v>
      </c>
      <c r="F87" s="2" t="n">
        <v>16</v>
      </c>
      <c r="G87" s="2" t="n">
        <v>14</v>
      </c>
      <c r="H87" s="2" t="inlineStr">
        <is>
          <t>Yes</t>
        </is>
      </c>
      <c r="I87" s="3">
        <f>C87*D87*E87/8/1024</f>
        <v/>
      </c>
      <c r="J87" s="2" t="inlineStr">
        <is>
          <t>MAGGOT.TIM</t>
        </is>
      </c>
    </row>
    <row r="88">
      <c r="A88" s="2" t="inlineStr">
        <is>
          <t>mansion</t>
        </is>
      </c>
      <c r="B88" s="2" t="inlineStr">
        <is>
          <t>textures/</t>
        </is>
      </c>
      <c r="C88" s="2" t="n">
        <v>128</v>
      </c>
      <c r="D88" s="2" t="n">
        <v>128</v>
      </c>
      <c r="E88" s="2" t="n">
        <v>8</v>
      </c>
      <c r="F88" s="2" t="n">
        <v>256</v>
      </c>
      <c r="G88" s="2" t="n">
        <v>114</v>
      </c>
      <c r="H88" s="2" t="inlineStr">
        <is>
          <t>Yes</t>
        </is>
      </c>
      <c r="I88" s="3">
        <f>C88*D88*E88/8/1024</f>
        <v/>
      </c>
      <c r="J88" s="2" t="inlineStr">
        <is>
          <t>MANSION.TIM</t>
        </is>
      </c>
    </row>
    <row r="89">
      <c r="A89" s="2" t="inlineStr">
        <is>
          <t>mgn_ky_stn</t>
        </is>
      </c>
      <c r="B89" s="2" t="inlineStr">
        <is>
          <t>textures/</t>
        </is>
      </c>
      <c r="C89" s="2" t="n">
        <v>32</v>
      </c>
      <c r="D89" s="2" t="n">
        <v>32</v>
      </c>
      <c r="E89" s="2" t="n">
        <v>4</v>
      </c>
      <c r="F89" s="2" t="n">
        <v>16</v>
      </c>
      <c r="G89" s="2" t="n">
        <v>9</v>
      </c>
      <c r="H89" s="2" t="inlineStr">
        <is>
          <t>Yes</t>
        </is>
      </c>
      <c r="I89" s="3">
        <f>C89*D89*E89/8/1024</f>
        <v/>
      </c>
      <c r="J89" s="2" t="inlineStr">
        <is>
          <t>MGNKYSTN.TIM</t>
        </is>
      </c>
    </row>
    <row r="90">
      <c r="A90" s="2" t="inlineStr">
        <is>
          <t>mist</t>
        </is>
      </c>
      <c r="B90" s="2" t="inlineStr">
        <is>
          <t>textures/</t>
        </is>
      </c>
      <c r="C90" s="2" t="n">
        <v>32</v>
      </c>
      <c r="D90" s="2" t="n">
        <v>32</v>
      </c>
      <c r="E90" s="2" t="n">
        <v>4</v>
      </c>
      <c r="F90" s="2" t="n">
        <v>16</v>
      </c>
      <c r="G90" s="2" t="n">
        <v>15</v>
      </c>
      <c r="H90" s="2" t="inlineStr">
        <is>
          <t>Yes</t>
        </is>
      </c>
      <c r="I90" s="3">
        <f>C90*D90*E90/8/1024</f>
        <v/>
      </c>
      <c r="J90" s="2" t="inlineStr">
        <is>
          <t>MIST.TIM</t>
        </is>
      </c>
    </row>
    <row r="91">
      <c r="A91" s="2" t="inlineStr">
        <is>
          <t>mt_sck</t>
        </is>
      </c>
      <c r="B91" s="2" t="inlineStr">
        <is>
          <t>textures/</t>
        </is>
      </c>
      <c r="C91" s="2" t="n">
        <v>32</v>
      </c>
      <c r="D91" s="2" t="n">
        <v>32</v>
      </c>
      <c r="E91" s="2" t="n">
        <v>4</v>
      </c>
      <c r="F91" s="2" t="n">
        <v>16</v>
      </c>
      <c r="G91" s="2" t="n">
        <v>15</v>
      </c>
      <c r="H91" s="2" t="inlineStr">
        <is>
          <t>Yes</t>
        </is>
      </c>
      <c r="I91" s="3">
        <f>C91*D91*E91/8/1024</f>
        <v/>
      </c>
      <c r="J91" s="2" t="inlineStr">
        <is>
          <t>MTSCK.TIM</t>
        </is>
      </c>
    </row>
    <row r="92">
      <c r="A92" s="2" t="inlineStr">
        <is>
          <t>mud</t>
        </is>
      </c>
      <c r="B92" s="2" t="inlineStr">
        <is>
          <t>textures/</t>
        </is>
      </c>
      <c r="C92" s="2" t="n">
        <v>128</v>
      </c>
      <c r="D92" s="2" t="n">
        <v>128</v>
      </c>
      <c r="E92" s="2" t="n">
        <v>8</v>
      </c>
      <c r="F92" s="2" t="n">
        <v>256</v>
      </c>
      <c r="G92" s="2" t="n">
        <v>25</v>
      </c>
      <c r="H92" s="2" t="inlineStr">
        <is>
          <t>No</t>
        </is>
      </c>
      <c r="I92" s="3">
        <f>C92*D92*E92/8/1024</f>
        <v/>
      </c>
      <c r="J92" s="2" t="inlineStr">
        <is>
          <t>ASGMUD.TIM</t>
        </is>
      </c>
    </row>
    <row r="93">
      <c r="A93" s="2" t="inlineStr">
        <is>
          <t>mushy_behind</t>
        </is>
      </c>
      <c r="B93" s="2" t="inlineStr">
        <is>
          <t>textures/</t>
        </is>
      </c>
      <c r="C93" s="2" t="n">
        <v>96</v>
      </c>
      <c r="D93" s="2" t="n">
        <v>96</v>
      </c>
      <c r="E93" s="2" t="n">
        <v>8</v>
      </c>
      <c r="F93" s="2" t="n">
        <v>256</v>
      </c>
      <c r="G93" s="2" t="n">
        <v>202</v>
      </c>
      <c r="H93" s="2" t="inlineStr">
        <is>
          <t>Yes</t>
        </is>
      </c>
      <c r="I93" s="3">
        <f>C93*D93*E93/8/1024</f>
        <v/>
      </c>
      <c r="J93" s="2" t="inlineStr">
        <is>
          <t>MSHYBHND.TIM</t>
        </is>
      </c>
    </row>
    <row r="94">
      <c r="A94" s="2" t="inlineStr">
        <is>
          <t>mushy_closed</t>
        </is>
      </c>
      <c r="B94" s="2" t="inlineStr">
        <is>
          <t>textures/</t>
        </is>
      </c>
      <c r="C94" s="2" t="n">
        <v>96</v>
      </c>
      <c r="D94" s="2" t="n">
        <v>96</v>
      </c>
      <c r="E94" s="2" t="n">
        <v>8</v>
      </c>
      <c r="F94" s="2" t="n">
        <v>256</v>
      </c>
      <c r="G94" s="2" t="n">
        <v>229</v>
      </c>
      <c r="H94" s="2" t="inlineStr">
        <is>
          <t>Yes</t>
        </is>
      </c>
      <c r="I94" s="3">
        <f>C94*D94*E94/8/1024</f>
        <v/>
      </c>
      <c r="J94" s="2" t="inlineStr">
        <is>
          <t>MSHYCLSD.TIM</t>
        </is>
      </c>
    </row>
    <row r="95">
      <c r="A95" s="2" t="inlineStr">
        <is>
          <t>mushy_open</t>
        </is>
      </c>
      <c r="B95" s="2" t="inlineStr">
        <is>
          <t>textures/</t>
        </is>
      </c>
      <c r="C95" s="2" t="n">
        <v>96</v>
      </c>
      <c r="D95" s="2" t="n">
        <v>96</v>
      </c>
      <c r="E95" s="2" t="n">
        <v>8</v>
      </c>
      <c r="F95" s="2" t="n">
        <v>256</v>
      </c>
      <c r="G95" s="2" t="n">
        <v>215</v>
      </c>
      <c r="H95" s="2" t="inlineStr">
        <is>
          <t>Yes</t>
        </is>
      </c>
      <c r="I95" s="3">
        <f>C95*D95*E95/8/1024</f>
        <v/>
      </c>
      <c r="J95" s="2" t="inlineStr">
        <is>
          <t>MSHYOPEN.TIM</t>
        </is>
      </c>
    </row>
    <row r="96">
      <c r="A96" s="2" t="inlineStr">
        <is>
          <t>mushy_run</t>
        </is>
      </c>
      <c r="B96" s="2" t="inlineStr">
        <is>
          <t>textures/</t>
        </is>
      </c>
      <c r="C96" s="2" t="n">
        <v>96</v>
      </c>
      <c r="D96" s="2" t="n">
        <v>96</v>
      </c>
      <c r="E96" s="2" t="n">
        <v>8</v>
      </c>
      <c r="F96" s="2" t="n">
        <v>256</v>
      </c>
      <c r="G96" s="2" t="n">
        <v>193</v>
      </c>
      <c r="H96" s="2" t="inlineStr">
        <is>
          <t>Yes</t>
        </is>
      </c>
      <c r="I96" s="3">
        <f>C96*D96*E96/8/1024</f>
        <v/>
      </c>
      <c r="J96" s="2" t="inlineStr">
        <is>
          <t>MSHYRUN.TIM</t>
        </is>
      </c>
    </row>
    <row r="97">
      <c r="A97" s="2" t="inlineStr">
        <is>
          <t>oil_container</t>
        </is>
      </c>
      <c r="B97" s="2" t="inlineStr">
        <is>
          <t>textures/</t>
        </is>
      </c>
      <c r="C97" s="2" t="n">
        <v>128</v>
      </c>
      <c r="D97" s="2" t="n">
        <v>128</v>
      </c>
      <c r="E97" s="2" t="n">
        <v>4</v>
      </c>
      <c r="F97" s="2" t="n">
        <v>16</v>
      </c>
      <c r="G97" s="2" t="n">
        <v>16</v>
      </c>
      <c r="H97" s="2" t="inlineStr">
        <is>
          <t>No</t>
        </is>
      </c>
      <c r="I97" s="3">
        <f>C97*D97*E97/8/1024</f>
        <v/>
      </c>
      <c r="J97" s="2" t="inlineStr">
        <is>
          <t>OILCNTNR.TIM</t>
        </is>
      </c>
    </row>
    <row r="98">
      <c r="A98" s="2" t="inlineStr">
        <is>
          <t>opn_drwr</t>
        </is>
      </c>
      <c r="B98" s="2" t="inlineStr">
        <is>
          <t>textures/</t>
        </is>
      </c>
      <c r="C98" s="2" t="n">
        <v>128</v>
      </c>
      <c r="D98" s="2" t="n">
        <v>128</v>
      </c>
      <c r="E98" s="2" t="n">
        <v>8</v>
      </c>
      <c r="F98" s="2" t="n">
        <v>256</v>
      </c>
      <c r="G98" s="2" t="n">
        <v>90</v>
      </c>
      <c r="H98" s="2" t="inlineStr">
        <is>
          <t>No</t>
        </is>
      </c>
      <c r="I98" s="3">
        <f>C98*D98*E98/8/1024</f>
        <v/>
      </c>
      <c r="J98" s="2" t="inlineStr">
        <is>
          <t>OPNDRWR.TIM</t>
        </is>
      </c>
    </row>
    <row r="99">
      <c r="A99" s="2" t="inlineStr">
        <is>
          <t>piano_keys</t>
        </is>
      </c>
      <c r="B99" s="2" t="inlineStr">
        <is>
          <t>textures/</t>
        </is>
      </c>
      <c r="C99" s="2" t="n">
        <v>128</v>
      </c>
      <c r="D99" s="2" t="n">
        <v>128</v>
      </c>
      <c r="E99" s="2" t="n">
        <v>4</v>
      </c>
      <c r="F99" s="2" t="n">
        <v>16</v>
      </c>
      <c r="G99" s="2" t="n">
        <v>14</v>
      </c>
      <c r="H99" s="2" t="inlineStr">
        <is>
          <t>No</t>
        </is>
      </c>
      <c r="I99" s="3">
        <f>C99*D99*E99/8/1024</f>
        <v/>
      </c>
      <c r="J99" s="2" t="inlineStr">
        <is>
          <t>PIANOKEY.TIM</t>
        </is>
      </c>
    </row>
    <row r="100">
      <c r="A100" s="2" t="inlineStr">
        <is>
          <t>piano_keys_full</t>
        </is>
      </c>
      <c r="B100" s="2" t="inlineStr">
        <is>
          <t>textures/</t>
        </is>
      </c>
      <c r="C100" s="2" t="n">
        <v>128</v>
      </c>
      <c r="D100" s="2" t="n">
        <v>128</v>
      </c>
      <c r="E100" s="2" t="n">
        <v>4</v>
      </c>
      <c r="F100" s="2" t="n">
        <v>16</v>
      </c>
      <c r="G100" s="2" t="n">
        <v>15</v>
      </c>
      <c r="H100" s="2" t="inlineStr">
        <is>
          <t>No</t>
        </is>
      </c>
      <c r="I100" s="3">
        <f>C100*D100*E100/8/1024</f>
        <v/>
      </c>
      <c r="J100" s="2" t="inlineStr">
        <is>
          <t>PIANOFUL.TIM</t>
        </is>
      </c>
    </row>
    <row r="101">
      <c r="A101" s="2" t="inlineStr">
        <is>
          <t>pipe</t>
        </is>
      </c>
      <c r="B101" s="2" t="inlineStr">
        <is>
          <t>textures/</t>
        </is>
      </c>
      <c r="C101" s="2" t="n">
        <v>128</v>
      </c>
      <c r="D101" s="2" t="n">
        <v>128</v>
      </c>
      <c r="E101" s="2" t="n">
        <v>4</v>
      </c>
      <c r="F101" s="2" t="n">
        <v>16</v>
      </c>
      <c r="G101" s="2" t="n">
        <v>16</v>
      </c>
      <c r="H101" s="2" t="inlineStr">
        <is>
          <t>No</t>
        </is>
      </c>
      <c r="I101" s="3">
        <f>C101*D101*E101/8/1024</f>
        <v/>
      </c>
      <c r="J101" s="2" t="inlineStr">
        <is>
          <t>PIPE.TIM</t>
        </is>
      </c>
    </row>
    <row r="102">
      <c r="A102" s="2" t="inlineStr">
        <is>
          <t>pipe_button_off</t>
        </is>
      </c>
      <c r="B102" s="2" t="inlineStr">
        <is>
          <t>textures/</t>
        </is>
      </c>
      <c r="C102" s="2" t="n">
        <v>32</v>
      </c>
      <c r="D102" s="2" t="n">
        <v>32</v>
      </c>
      <c r="E102" s="2" t="n">
        <v>4</v>
      </c>
      <c r="F102" s="2" t="n">
        <v>16</v>
      </c>
      <c r="G102" s="2" t="n">
        <v>15</v>
      </c>
      <c r="H102" s="2" t="inlineStr">
        <is>
          <t>No</t>
        </is>
      </c>
      <c r="I102" s="3">
        <f>C102*D102*E102/8/1024</f>
        <v/>
      </c>
      <c r="J102" s="2" t="inlineStr">
        <is>
          <t>PIPEBTNO.TIM</t>
        </is>
      </c>
    </row>
    <row r="103">
      <c r="A103" s="2" t="inlineStr">
        <is>
          <t>pipe_button_on</t>
        </is>
      </c>
      <c r="B103" s="2" t="inlineStr">
        <is>
          <t>textures/</t>
        </is>
      </c>
      <c r="C103" s="2" t="n">
        <v>32</v>
      </c>
      <c r="D103" s="2" t="n">
        <v>32</v>
      </c>
      <c r="E103" s="2" t="n">
        <v>4</v>
      </c>
      <c r="F103" s="2" t="n">
        <v>16</v>
      </c>
      <c r="G103" s="2" t="n">
        <v>14</v>
      </c>
      <c r="H103" s="2" t="inlineStr">
        <is>
          <t>No</t>
        </is>
      </c>
      <c r="I103" s="3">
        <f>C103*D103*E103/8/1024</f>
        <v/>
      </c>
      <c r="J103" s="2" t="inlineStr">
        <is>
          <t>PIPEBTNN.TIM</t>
        </is>
      </c>
    </row>
    <row r="104">
      <c r="A104" s="2" t="inlineStr">
        <is>
          <t>pipe_gh</t>
        </is>
      </c>
      <c r="B104" s="2" t="inlineStr">
        <is>
          <t>textures/</t>
        </is>
      </c>
      <c r="C104" s="2" t="n">
        <v>128</v>
      </c>
      <c r="D104" s="2" t="n">
        <v>128</v>
      </c>
      <c r="E104" s="2" t="n">
        <v>4</v>
      </c>
      <c r="F104" s="2" t="n">
        <v>16</v>
      </c>
      <c r="G104" s="2" t="n">
        <v>16</v>
      </c>
      <c r="H104" s="2" t="inlineStr">
        <is>
          <t>No</t>
        </is>
      </c>
      <c r="I104" s="3">
        <f>C104*D104*E104/8/1024</f>
        <v/>
      </c>
      <c r="J104" s="2" t="inlineStr">
        <is>
          <t>PIPEGH.TIM</t>
        </is>
      </c>
    </row>
    <row r="105">
      <c r="A105" s="2" t="inlineStr">
        <is>
          <t>plinth</t>
        </is>
      </c>
      <c r="B105" s="2" t="inlineStr">
        <is>
          <t>textures/</t>
        </is>
      </c>
      <c r="C105" s="2" t="n">
        <v>128</v>
      </c>
      <c r="D105" s="2" t="n">
        <v>128</v>
      </c>
      <c r="E105" s="2" t="n">
        <v>4</v>
      </c>
      <c r="F105" s="2" t="n">
        <v>16</v>
      </c>
      <c r="G105" s="2" t="n">
        <v>16</v>
      </c>
      <c r="H105" s="2" t="inlineStr">
        <is>
          <t>No</t>
        </is>
      </c>
      <c r="I105" s="3">
        <f>C105*D105*E105/8/1024</f>
        <v/>
      </c>
      <c r="J105" s="2" t="inlineStr">
        <is>
          <t>PLINTH.TIM</t>
        </is>
      </c>
    </row>
    <row r="106">
      <c r="A106" s="2" t="inlineStr">
        <is>
          <t>plinth_diamond</t>
        </is>
      </c>
      <c r="B106" s="2" t="inlineStr">
        <is>
          <t>textures/</t>
        </is>
      </c>
      <c r="C106" s="2" t="n">
        <v>128</v>
      </c>
      <c r="D106" s="2" t="n">
        <v>128</v>
      </c>
      <c r="E106" s="2" t="n">
        <v>4</v>
      </c>
      <c r="F106" s="2" t="n">
        <v>16</v>
      </c>
      <c r="G106" s="2" t="n">
        <v>16</v>
      </c>
      <c r="H106" s="2" t="inlineStr">
        <is>
          <t>No</t>
        </is>
      </c>
      <c r="I106" s="3">
        <f>C106*D106*E106/8/1024</f>
        <v/>
      </c>
      <c r="J106" s="2" t="inlineStr">
        <is>
          <t>PLNTHDMD.TIM</t>
        </is>
      </c>
    </row>
    <row r="107">
      <c r="A107" s="2" t="inlineStr">
        <is>
          <t>plinth_rg</t>
        </is>
      </c>
      <c r="B107" s="2" t="inlineStr">
        <is>
          <t>textures/</t>
        </is>
      </c>
      <c r="C107" s="2" t="n">
        <v>128</v>
      </c>
      <c r="D107" s="2" t="n">
        <v>128</v>
      </c>
      <c r="E107" s="2" t="n">
        <v>8</v>
      </c>
      <c r="F107" s="2" t="n">
        <v>256</v>
      </c>
      <c r="G107" s="2" t="n">
        <v>78</v>
      </c>
      <c r="H107" s="2" t="inlineStr">
        <is>
          <t>No</t>
        </is>
      </c>
      <c r="I107" s="3">
        <f>C107*D107*E107/8/1024</f>
        <v/>
      </c>
      <c r="J107" s="2" t="inlineStr">
        <is>
          <t>PLNTHRG.TIM</t>
        </is>
      </c>
    </row>
    <row r="108">
      <c r="A108" s="2" t="inlineStr">
        <is>
          <t>pno_key</t>
        </is>
      </c>
      <c r="B108" s="2" t="inlineStr">
        <is>
          <t>textures/</t>
        </is>
      </c>
      <c r="C108" s="2" t="n">
        <v>32</v>
      </c>
      <c r="D108" s="2" t="n">
        <v>32</v>
      </c>
      <c r="E108" s="2" t="n">
        <v>4</v>
      </c>
      <c r="F108" s="2" t="n">
        <v>16</v>
      </c>
      <c r="G108" s="2" t="n">
        <v>6</v>
      </c>
      <c r="H108" s="2" t="inlineStr">
        <is>
          <t>Yes</t>
        </is>
      </c>
      <c r="I108" s="3">
        <f>C108*D108*E108/8/1024</f>
        <v/>
      </c>
      <c r="J108" s="2" t="inlineStr">
        <is>
          <t>PNOKEY.TIM</t>
        </is>
      </c>
    </row>
    <row r="109">
      <c r="A109" s="2" t="inlineStr">
        <is>
          <t>poison_flower_base</t>
        </is>
      </c>
      <c r="B109" s="2" t="inlineStr">
        <is>
          <t>textures/</t>
        </is>
      </c>
      <c r="C109" s="2" t="n">
        <v>64</v>
      </c>
      <c r="D109" s="2" t="n">
        <v>64</v>
      </c>
      <c r="E109" s="2" t="n">
        <v>4</v>
      </c>
      <c r="F109" s="2" t="n">
        <v>16</v>
      </c>
      <c r="G109" s="2" t="n">
        <v>16</v>
      </c>
      <c r="H109" s="2" t="inlineStr">
        <is>
          <t>No</t>
        </is>
      </c>
      <c r="I109" s="3">
        <f>C109*D109*E109/8/1024</f>
        <v/>
      </c>
      <c r="J109" s="2" t="inlineStr">
        <is>
          <t>PSNFLWR.TIM</t>
        </is>
      </c>
    </row>
    <row r="110">
      <c r="A110" s="2" t="inlineStr">
        <is>
          <t>poison_flower_base_gh</t>
        </is>
      </c>
      <c r="B110" s="2" t="inlineStr">
        <is>
          <t>textures/</t>
        </is>
      </c>
      <c r="C110" s="2" t="n">
        <v>64</v>
      </c>
      <c r="D110" s="2" t="n">
        <v>64</v>
      </c>
      <c r="E110" s="2" t="n">
        <v>4</v>
      </c>
      <c r="F110" s="2" t="n">
        <v>16</v>
      </c>
      <c r="G110" s="2" t="n">
        <v>16</v>
      </c>
      <c r="H110" s="2" t="inlineStr">
        <is>
          <t>No</t>
        </is>
      </c>
      <c r="I110" s="3">
        <f>C110*D110*E110/8/1024</f>
        <v/>
      </c>
      <c r="J110" s="2" t="inlineStr">
        <is>
          <t>PSNFLGH.TIM</t>
        </is>
      </c>
    </row>
    <row r="111">
      <c r="A111" s="2" t="inlineStr">
        <is>
          <t>prpl_wlppr</t>
        </is>
      </c>
      <c r="B111" s="2" t="inlineStr">
        <is>
          <t>textures/</t>
        </is>
      </c>
      <c r="C111" s="2" t="n">
        <v>128</v>
      </c>
      <c r="D111" s="2" t="n">
        <v>128</v>
      </c>
      <c r="E111" s="2" t="n">
        <v>4</v>
      </c>
      <c r="F111" s="2" t="n">
        <v>16</v>
      </c>
      <c r="G111" s="2" t="n">
        <v>14</v>
      </c>
      <c r="H111" s="2" t="inlineStr">
        <is>
          <t>No</t>
        </is>
      </c>
      <c r="I111" s="3">
        <f>C111*D111*E111/8/1024</f>
        <v/>
      </c>
      <c r="J111" s="2" t="inlineStr">
        <is>
          <t>PRPLWLP.TIM</t>
        </is>
      </c>
    </row>
    <row r="112">
      <c r="A112" s="2" t="inlineStr">
        <is>
          <t>Rabisu tex</t>
        </is>
      </c>
      <c r="B112" s="2" t="inlineStr">
        <is>
          <t>textures/</t>
        </is>
      </c>
      <c r="C112" s="2" t="n">
        <v>128</v>
      </c>
      <c r="D112" s="2" t="n">
        <v>128</v>
      </c>
      <c r="E112" s="2" t="n">
        <v>8</v>
      </c>
      <c r="F112" s="2" t="n">
        <v>256</v>
      </c>
      <c r="G112" s="2" t="n">
        <v>118</v>
      </c>
      <c r="H112" s="2" t="inlineStr">
        <is>
          <t>No</t>
        </is>
      </c>
      <c r="I112" s="3">
        <f>C112*D112*E112/8/1024</f>
        <v/>
      </c>
      <c r="J112" s="2" t="inlineStr">
        <is>
          <t>RABISU.TIM</t>
        </is>
      </c>
    </row>
    <row r="113">
      <c r="A113" s="2" t="inlineStr">
        <is>
          <t>rafflesia1</t>
        </is>
      </c>
      <c r="B113" s="2" t="inlineStr">
        <is>
          <t>textures/</t>
        </is>
      </c>
      <c r="C113" s="2" t="n">
        <v>128</v>
      </c>
      <c r="D113" s="2" t="n">
        <v>128</v>
      </c>
      <c r="E113" s="2" t="n">
        <v>4</v>
      </c>
      <c r="F113" s="2" t="n">
        <v>16</v>
      </c>
      <c r="G113" s="2" t="n">
        <v>13</v>
      </c>
      <c r="H113" s="2" t="inlineStr">
        <is>
          <t>Yes</t>
        </is>
      </c>
      <c r="I113" s="3">
        <f>C113*D113*E113/8/1024</f>
        <v/>
      </c>
      <c r="J113" s="2" t="inlineStr">
        <is>
          <t>RAFLSIA1.TIM</t>
        </is>
      </c>
    </row>
    <row r="114">
      <c r="A114" s="2" t="inlineStr">
        <is>
          <t>rafflesia2</t>
        </is>
      </c>
      <c r="B114" s="2" t="inlineStr">
        <is>
          <t>textures/</t>
        </is>
      </c>
      <c r="C114" s="2" t="n">
        <v>128</v>
      </c>
      <c r="D114" s="2" t="n">
        <v>128</v>
      </c>
      <c r="E114" s="2" t="n">
        <v>4</v>
      </c>
      <c r="F114" s="2" t="n">
        <v>16</v>
      </c>
      <c r="G114" s="2" t="n">
        <v>13</v>
      </c>
      <c r="H114" s="2" t="inlineStr">
        <is>
          <t>Yes</t>
        </is>
      </c>
      <c r="I114" s="3">
        <f>C114*D114*E114/8/1024</f>
        <v/>
      </c>
      <c r="J114" s="2" t="inlineStr">
        <is>
          <t>RAFLSIA2.TIM</t>
        </is>
      </c>
    </row>
    <row r="115">
      <c r="A115" s="2" t="inlineStr">
        <is>
          <t>red_crpt</t>
        </is>
      </c>
      <c r="B115" s="2" t="inlineStr">
        <is>
          <t>textures/</t>
        </is>
      </c>
      <c r="C115" s="2" t="n">
        <v>128</v>
      </c>
      <c r="D115" s="2" t="n">
        <v>128</v>
      </c>
      <c r="E115" s="2" t="n">
        <v>4</v>
      </c>
      <c r="F115" s="2" t="n">
        <v>16</v>
      </c>
      <c r="G115" s="2" t="n">
        <v>15</v>
      </c>
      <c r="H115" s="2" t="inlineStr">
        <is>
          <t>No</t>
        </is>
      </c>
      <c r="I115" s="3">
        <f>C115*D115*E115/8/1024</f>
        <v/>
      </c>
      <c r="J115" s="2" t="inlineStr">
        <is>
          <t>REDCRPT.TIM</t>
        </is>
      </c>
    </row>
    <row r="116">
      <c r="A116" s="2" t="inlineStr">
        <is>
          <t>red_wlppr</t>
        </is>
      </c>
      <c r="B116" s="2" t="inlineStr">
        <is>
          <t>textures/</t>
        </is>
      </c>
      <c r="C116" s="2" t="n">
        <v>128</v>
      </c>
      <c r="D116" s="2" t="n">
        <v>128</v>
      </c>
      <c r="E116" s="2" t="n">
        <v>4</v>
      </c>
      <c r="F116" s="2" t="n">
        <v>16</v>
      </c>
      <c r="G116" s="2" t="n">
        <v>13</v>
      </c>
      <c r="H116" s="2" t="inlineStr">
        <is>
          <t>No</t>
        </is>
      </c>
      <c r="I116" s="3">
        <f>C116*D116*E116/8/1024</f>
        <v/>
      </c>
      <c r="J116" s="2" t="inlineStr">
        <is>
          <t>REDWLPPR.TIM</t>
        </is>
      </c>
    </row>
    <row r="117">
      <c r="A117" s="2" t="inlineStr">
        <is>
          <t>rusty</t>
        </is>
      </c>
      <c r="B117" s="2" t="inlineStr">
        <is>
          <t>textures/</t>
        </is>
      </c>
      <c r="C117" s="2" t="n">
        <v>128</v>
      </c>
      <c r="D117" s="2" t="n">
        <v>128</v>
      </c>
      <c r="E117" s="2" t="n">
        <v>4</v>
      </c>
      <c r="F117" s="2" t="n">
        <v>16</v>
      </c>
      <c r="G117" s="2" t="n">
        <v>16</v>
      </c>
      <c r="H117" s="2" t="inlineStr">
        <is>
          <t>No</t>
        </is>
      </c>
      <c r="I117" s="3">
        <f>C117*D117*E117/8/1024</f>
        <v/>
      </c>
      <c r="J117" s="2" t="inlineStr">
        <is>
          <t>RUSTY.TIM</t>
        </is>
      </c>
    </row>
    <row r="118">
      <c r="A118" s="2" t="inlineStr">
        <is>
          <t>rusty_fence</t>
        </is>
      </c>
      <c r="B118" s="2" t="inlineStr">
        <is>
          <t>textures/</t>
        </is>
      </c>
      <c r="C118" s="2" t="n">
        <v>128</v>
      </c>
      <c r="D118" s="2" t="n">
        <v>128</v>
      </c>
      <c r="E118" s="2" t="n">
        <v>4</v>
      </c>
      <c r="F118" s="2" t="n">
        <v>16</v>
      </c>
      <c r="G118" s="2" t="n">
        <v>16</v>
      </c>
      <c r="H118" s="2" t="inlineStr">
        <is>
          <t>No</t>
        </is>
      </c>
      <c r="I118" s="3">
        <f>C118*D118*E118/8/1024</f>
        <v/>
      </c>
      <c r="J118" s="2" t="inlineStr">
        <is>
          <t>FENCE.TIM</t>
        </is>
      </c>
    </row>
    <row r="119">
      <c r="A119" s="2" t="inlineStr">
        <is>
          <t>scat_rnds</t>
        </is>
      </c>
      <c r="B119" s="2" t="inlineStr">
        <is>
          <t>textures/</t>
        </is>
      </c>
      <c r="C119" s="2" t="n">
        <v>32</v>
      </c>
      <c r="D119" s="2" t="n">
        <v>32</v>
      </c>
      <c r="E119" s="2" t="n">
        <v>4</v>
      </c>
      <c r="F119" s="2" t="n">
        <v>16</v>
      </c>
      <c r="G119" s="2" t="n">
        <v>15</v>
      </c>
      <c r="H119" s="2" t="inlineStr">
        <is>
          <t>Yes</t>
        </is>
      </c>
      <c r="I119" s="3">
        <f>C119*D119*E119/8/1024</f>
        <v/>
      </c>
      <c r="J119" s="2" t="inlineStr">
        <is>
          <t>SCATRNDS.TIM</t>
        </is>
      </c>
    </row>
    <row r="120">
      <c r="A120" s="2" t="inlineStr">
        <is>
          <t>sconce</t>
        </is>
      </c>
      <c r="B120" s="2" t="inlineStr">
        <is>
          <t>textures/</t>
        </is>
      </c>
      <c r="C120" s="2" t="n">
        <v>128</v>
      </c>
      <c r="D120" s="2" t="n">
        <v>128</v>
      </c>
      <c r="E120" s="2" t="n">
        <v>8</v>
      </c>
      <c r="F120" s="2" t="n">
        <v>256</v>
      </c>
      <c r="G120" s="2" t="n">
        <v>138</v>
      </c>
      <c r="H120" s="2" t="inlineStr">
        <is>
          <t>Yes</t>
        </is>
      </c>
      <c r="I120" s="3">
        <f>C120*D120*E120/8/1024</f>
        <v/>
      </c>
      <c r="J120" s="2" t="inlineStr">
        <is>
          <t>SCONCE.TIM</t>
        </is>
      </c>
    </row>
    <row r="121">
      <c r="A121" s="2" t="inlineStr">
        <is>
          <t>seal</t>
        </is>
      </c>
      <c r="B121" s="2" t="inlineStr">
        <is>
          <t>textures/</t>
        </is>
      </c>
      <c r="C121" s="2" t="n">
        <v>128</v>
      </c>
      <c r="D121" s="2" t="n">
        <v>128</v>
      </c>
      <c r="E121" s="2" t="n">
        <v>4</v>
      </c>
      <c r="F121" s="2" t="n">
        <v>16</v>
      </c>
      <c r="G121" s="2" t="n">
        <v>8</v>
      </c>
      <c r="H121" s="2" t="inlineStr">
        <is>
          <t>Yes</t>
        </is>
      </c>
      <c r="I121" s="3">
        <f>C121*D121*E121/8/1024</f>
        <v/>
      </c>
      <c r="J121" s="2" t="inlineStr">
        <is>
          <t>SEAL.TIM</t>
        </is>
      </c>
    </row>
    <row r="122">
      <c r="A122" s="2" t="inlineStr">
        <is>
          <t>shadow</t>
        </is>
      </c>
      <c r="B122" s="2" t="inlineStr">
        <is>
          <t>textures/</t>
        </is>
      </c>
      <c r="C122" s="2" t="n">
        <v>64</v>
      </c>
      <c r="D122" s="2" t="n">
        <v>32</v>
      </c>
      <c r="E122" s="2" t="n">
        <v>4</v>
      </c>
      <c r="F122" s="2" t="n">
        <v>16</v>
      </c>
      <c r="G122" s="2" t="n">
        <v>4</v>
      </c>
      <c r="H122" s="2" t="inlineStr">
        <is>
          <t>Yes</t>
        </is>
      </c>
      <c r="I122" s="3">
        <f>C122*D122*E122/8/1024</f>
        <v/>
      </c>
      <c r="J122" s="2" t="inlineStr">
        <is>
          <t>SHADOW.TIM</t>
        </is>
      </c>
    </row>
    <row r="123">
      <c r="A123" s="2" t="inlineStr">
        <is>
          <t>shelf_incinerator</t>
        </is>
      </c>
      <c r="B123" s="2" t="inlineStr">
        <is>
          <t>textures/catacombs/</t>
        </is>
      </c>
      <c r="C123" s="2" t="n">
        <v>128</v>
      </c>
      <c r="D123" s="2" t="n">
        <v>128</v>
      </c>
      <c r="E123" s="2" t="n">
        <v>8</v>
      </c>
      <c r="F123" s="2" t="n">
        <v>256</v>
      </c>
      <c r="G123" s="2" t="n">
        <v>114</v>
      </c>
      <c r="H123" s="2" t="inlineStr">
        <is>
          <t>No</t>
        </is>
      </c>
      <c r="I123" s="3">
        <f>C123*D123*E123/8/1024</f>
        <v/>
      </c>
      <c r="J123" s="2" t="inlineStr">
        <is>
          <t>SHLFINCN.TIM</t>
        </is>
      </c>
    </row>
    <row r="124">
      <c r="A124" s="2" t="inlineStr">
        <is>
          <t>sml_med</t>
        </is>
      </c>
      <c r="B124" s="2" t="inlineStr">
        <is>
          <t>textures/</t>
        </is>
      </c>
      <c r="C124" s="2" t="n">
        <v>32</v>
      </c>
      <c r="D124" s="2" t="n">
        <v>32</v>
      </c>
      <c r="E124" s="2" t="n">
        <v>4</v>
      </c>
      <c r="F124" s="2" t="n">
        <v>16</v>
      </c>
      <c r="G124" s="2" t="n">
        <v>6</v>
      </c>
      <c r="H124" s="2" t="inlineStr">
        <is>
          <t>Yes</t>
        </is>
      </c>
      <c r="I124" s="3">
        <f>C124*D124*E124/8/1024</f>
        <v/>
      </c>
      <c r="J124" s="2" t="inlineStr">
        <is>
          <t>SML_MED.TIM</t>
        </is>
      </c>
    </row>
    <row r="125">
      <c r="A125" s="2" t="inlineStr">
        <is>
          <t>spdr_rst</t>
        </is>
      </c>
      <c r="B125" s="2" t="inlineStr">
        <is>
          <t>textures/</t>
        </is>
      </c>
      <c r="C125" s="2" t="n">
        <v>128</v>
      </c>
      <c r="D125" s="2" t="n">
        <v>128</v>
      </c>
      <c r="E125" s="2" t="n">
        <v>8</v>
      </c>
      <c r="F125" s="2" t="n">
        <v>256</v>
      </c>
      <c r="G125" s="2" t="n">
        <v>207</v>
      </c>
      <c r="H125" s="2" t="inlineStr">
        <is>
          <t>Yes</t>
        </is>
      </c>
      <c r="I125" s="3">
        <f>C125*D125*E125/8/1024</f>
        <v/>
      </c>
      <c r="J125" s="2" t="inlineStr">
        <is>
          <t>SPDRRST.TIM</t>
        </is>
      </c>
    </row>
    <row r="126">
      <c r="A126" s="2" t="inlineStr">
        <is>
          <t>spdr_wk</t>
        </is>
      </c>
      <c r="B126" s="2" t="inlineStr">
        <is>
          <t>textures/</t>
        </is>
      </c>
      <c r="C126" s="2" t="n">
        <v>128</v>
      </c>
      <c r="D126" s="2" t="n">
        <v>128</v>
      </c>
      <c r="E126" s="2" t="n">
        <v>8</v>
      </c>
      <c r="F126" s="2" t="n">
        <v>256</v>
      </c>
      <c r="G126" s="2" t="n">
        <v>198</v>
      </c>
      <c r="H126" s="2" t="inlineStr">
        <is>
          <t>Yes</t>
        </is>
      </c>
      <c r="I126" s="3">
        <f>C126*D126*E126/8/1024</f>
        <v/>
      </c>
      <c r="J126" s="2" t="inlineStr">
        <is>
          <t>SPDRWK.TIM</t>
        </is>
      </c>
    </row>
    <row r="127">
      <c r="A127" s="2" t="inlineStr">
        <is>
          <t>stable glyphs</t>
        </is>
      </c>
      <c r="B127" s="2" t="inlineStr">
        <is>
          <t>textures/</t>
        </is>
      </c>
      <c r="C127" s="2" t="n">
        <v>128</v>
      </c>
      <c r="D127" s="2" t="n">
        <v>128</v>
      </c>
      <c r="E127" s="2" t="n">
        <v>4</v>
      </c>
      <c r="F127" s="2" t="n">
        <v>16</v>
      </c>
      <c r="G127" s="2" t="n">
        <v>15</v>
      </c>
      <c r="H127" s="2" t="inlineStr">
        <is>
          <t>No</t>
        </is>
      </c>
      <c r="I127" s="3">
        <f>C127*D127*E127/8/1024</f>
        <v/>
      </c>
      <c r="J127" s="2" t="inlineStr">
        <is>
          <t>STBLGLPH.TIM</t>
        </is>
      </c>
    </row>
    <row r="128">
      <c r="A128" s="2" t="inlineStr">
        <is>
          <t>stables wood</t>
        </is>
      </c>
      <c r="B128" s="2" t="inlineStr">
        <is>
          <t>textures/</t>
        </is>
      </c>
      <c r="C128" s="2" t="n">
        <v>128</v>
      </c>
      <c r="D128" s="2" t="n">
        <v>128</v>
      </c>
      <c r="E128" s="2" t="n">
        <v>4</v>
      </c>
      <c r="F128" s="2" t="n">
        <v>16</v>
      </c>
      <c r="G128" s="2" t="n">
        <v>16</v>
      </c>
      <c r="H128" s="2" t="inlineStr">
        <is>
          <t>No</t>
        </is>
      </c>
      <c r="I128" s="3">
        <f>C128*D128*E128/8/1024</f>
        <v/>
      </c>
      <c r="J128" s="2" t="inlineStr">
        <is>
          <t>STBLWOOD.TIM</t>
        </is>
      </c>
    </row>
    <row r="129">
      <c r="A129" s="2" t="inlineStr">
        <is>
          <t>stn_gls</t>
        </is>
      </c>
      <c r="B129" s="2" t="inlineStr">
        <is>
          <t>textures/</t>
        </is>
      </c>
      <c r="C129" s="2" t="n">
        <v>128</v>
      </c>
      <c r="D129" s="2" t="n">
        <v>128</v>
      </c>
      <c r="E129" s="2" t="n">
        <v>4</v>
      </c>
      <c r="F129" s="2" t="n">
        <v>16</v>
      </c>
      <c r="G129" s="2" t="n">
        <v>16</v>
      </c>
      <c r="H129" s="2" t="inlineStr">
        <is>
          <t>No</t>
        </is>
      </c>
      <c r="I129" s="3">
        <f>C129*D129*E129/8/1024</f>
        <v/>
      </c>
      <c r="J129" s="2" t="inlineStr">
        <is>
          <t>STNGLS.TIM</t>
        </is>
      </c>
    </row>
    <row r="130">
      <c r="A130" s="2" t="inlineStr">
        <is>
          <t>stn_stl</t>
        </is>
      </c>
      <c r="B130" s="2" t="inlineStr">
        <is>
          <t>textures/</t>
        </is>
      </c>
      <c r="C130" s="2" t="n">
        <v>128</v>
      </c>
      <c r="D130" s="2" t="n">
        <v>128</v>
      </c>
      <c r="E130" s="2" t="n">
        <v>4</v>
      </c>
      <c r="F130" s="2" t="n">
        <v>16</v>
      </c>
      <c r="G130" s="2" t="n">
        <v>9</v>
      </c>
      <c r="H130" s="2" t="inlineStr">
        <is>
          <t>No</t>
        </is>
      </c>
      <c r="I130" s="3">
        <f>C130*D130*E130/8/1024</f>
        <v/>
      </c>
      <c r="J130" s="2" t="inlineStr">
        <is>
          <t>STNSTL.TIM</t>
        </is>
      </c>
    </row>
    <row r="131">
      <c r="A131" s="2" t="inlineStr">
        <is>
          <t>stnd_rnds</t>
        </is>
      </c>
      <c r="B131" s="2" t="inlineStr">
        <is>
          <t>textures/</t>
        </is>
      </c>
      <c r="C131" s="2" t="n">
        <v>64</v>
      </c>
      <c r="D131" s="2" t="n">
        <v>64</v>
      </c>
      <c r="E131" s="2" t="n">
        <v>4</v>
      </c>
      <c r="F131" s="2" t="n">
        <v>16</v>
      </c>
      <c r="G131" s="2" t="n">
        <v>10</v>
      </c>
      <c r="H131" s="2" t="inlineStr">
        <is>
          <t>Yes</t>
        </is>
      </c>
      <c r="I131" s="3">
        <f>C131*D131*E131/8/1024</f>
        <v/>
      </c>
      <c r="J131" s="2" t="inlineStr">
        <is>
          <t>STNDRNDS.TIM</t>
        </is>
      </c>
    </row>
    <row r="132">
      <c r="A132" s="2" t="inlineStr">
        <is>
          <t>stove</t>
        </is>
      </c>
      <c r="B132" s="2" t="inlineStr">
        <is>
          <t>textures/</t>
        </is>
      </c>
      <c r="C132" s="2" t="n">
        <v>128</v>
      </c>
      <c r="D132" s="2" t="n">
        <v>128</v>
      </c>
      <c r="E132" s="2" t="n">
        <v>4</v>
      </c>
      <c r="F132" s="2" t="n">
        <v>16</v>
      </c>
      <c r="G132" s="2" t="n">
        <v>11</v>
      </c>
      <c r="H132" s="2" t="inlineStr">
        <is>
          <t>No</t>
        </is>
      </c>
      <c r="I132" s="3">
        <f>C132*D132*E132/8/1024</f>
        <v/>
      </c>
      <c r="J132" s="2" t="inlineStr">
        <is>
          <t>STOVE.TIM</t>
        </is>
      </c>
    </row>
    <row r="133">
      <c r="A133" s="2" t="inlineStr">
        <is>
          <t>strs</t>
        </is>
      </c>
      <c r="B133" s="2" t="inlineStr">
        <is>
          <t>textures/</t>
        </is>
      </c>
      <c r="C133" s="2" t="n">
        <v>128</v>
      </c>
      <c r="D133" s="2" t="n">
        <v>128</v>
      </c>
      <c r="E133" s="2" t="n">
        <v>4</v>
      </c>
      <c r="F133" s="2" t="n">
        <v>16</v>
      </c>
      <c r="G133" s="2" t="n">
        <v>16</v>
      </c>
      <c r="H133" s="2" t="inlineStr">
        <is>
          <t>No</t>
        </is>
      </c>
      <c r="I133" s="3">
        <f>C133*D133*E133/8/1024</f>
        <v/>
      </c>
      <c r="J133" s="2" t="inlineStr">
        <is>
          <t>STRS.TIM</t>
        </is>
      </c>
    </row>
    <row r="134">
      <c r="A134" s="2" t="inlineStr">
        <is>
          <t>tntcl_actv</t>
        </is>
      </c>
      <c r="B134" s="2" t="inlineStr">
        <is>
          <t>textures/</t>
        </is>
      </c>
      <c r="C134" s="2" t="n">
        <v>128</v>
      </c>
      <c r="D134" s="2" t="n">
        <v>64</v>
      </c>
      <c r="E134" s="2" t="n">
        <v>4</v>
      </c>
      <c r="F134" s="2" t="n">
        <v>16</v>
      </c>
      <c r="G134" s="2" t="n">
        <v>16</v>
      </c>
      <c r="H134" s="2" t="inlineStr">
        <is>
          <t>Yes</t>
        </is>
      </c>
      <c r="I134" s="3">
        <f>C134*D134*E134/8/1024</f>
        <v/>
      </c>
      <c r="J134" s="2" t="inlineStr">
        <is>
          <t>TNTCLACT.TIM</t>
        </is>
      </c>
    </row>
    <row r="135">
      <c r="A135" s="2" t="inlineStr">
        <is>
          <t>tntcl_idle</t>
        </is>
      </c>
      <c r="B135" s="2" t="inlineStr">
        <is>
          <t>textures/</t>
        </is>
      </c>
      <c r="C135" s="2" t="n">
        <v>64</v>
      </c>
      <c r="D135" s="2" t="n">
        <v>64</v>
      </c>
      <c r="E135" s="2" t="n">
        <v>4</v>
      </c>
      <c r="F135" s="2" t="n">
        <v>16</v>
      </c>
      <c r="G135" s="2" t="n">
        <v>16</v>
      </c>
      <c r="H135" s="2" t="inlineStr">
        <is>
          <t>Yes</t>
        </is>
      </c>
      <c r="I135" s="3">
        <f>C135*D135*E135/8/1024</f>
        <v/>
      </c>
      <c r="J135" s="2" t="inlineStr">
        <is>
          <t>TNTCLIDL.TIM</t>
        </is>
      </c>
    </row>
    <row r="136">
      <c r="A136" s="2" t="inlineStr">
        <is>
          <t>torsos</t>
        </is>
      </c>
      <c r="B136" s="2" t="inlineStr">
        <is>
          <t>textures/</t>
        </is>
      </c>
      <c r="C136" s="2" t="n">
        <v>128</v>
      </c>
      <c r="D136" s="2" t="n">
        <v>128</v>
      </c>
      <c r="E136" s="2" t="n">
        <v>4</v>
      </c>
      <c r="F136" s="2" t="n">
        <v>16</v>
      </c>
      <c r="G136" s="2" t="n">
        <v>14</v>
      </c>
      <c r="H136" s="2" t="inlineStr">
        <is>
          <t>No</t>
        </is>
      </c>
      <c r="I136" s="3">
        <f>C136*D136*E136/8/1024</f>
        <v/>
      </c>
      <c r="J136" s="2" t="inlineStr">
        <is>
          <t>TORSOS.TIM</t>
        </is>
      </c>
    </row>
    <row r="137">
      <c r="A137" s="2" t="inlineStr">
        <is>
          <t>trck_clue</t>
        </is>
      </c>
      <c r="B137" s="2" t="inlineStr">
        <is>
          <t>textures/</t>
        </is>
      </c>
      <c r="C137" s="2" t="n">
        <v>128</v>
      </c>
      <c r="D137" s="2" t="n">
        <v>128</v>
      </c>
      <c r="E137" s="2" t="n">
        <v>4</v>
      </c>
      <c r="F137" s="2" t="n">
        <v>16</v>
      </c>
      <c r="G137" s="2" t="n">
        <v>16</v>
      </c>
      <c r="H137" s="2" t="inlineStr">
        <is>
          <t>No</t>
        </is>
      </c>
      <c r="I137" s="3">
        <f>C137*D137*E137/8/1024</f>
        <v/>
      </c>
      <c r="J137" s="2" t="inlineStr">
        <is>
          <t>TRCKCLUE.TIM</t>
        </is>
      </c>
    </row>
    <row r="138">
      <c r="A138" s="2" t="inlineStr">
        <is>
          <t>trees</t>
        </is>
      </c>
      <c r="B138" s="2" t="inlineStr">
        <is>
          <t>textures/</t>
        </is>
      </c>
      <c r="C138" s="2" t="n">
        <v>128</v>
      </c>
      <c r="D138" s="2" t="n">
        <v>128</v>
      </c>
      <c r="E138" s="2" t="n">
        <v>4</v>
      </c>
      <c r="F138" s="2" t="n">
        <v>16</v>
      </c>
      <c r="G138" s="2" t="n">
        <v>14</v>
      </c>
      <c r="H138" s="2" t="inlineStr">
        <is>
          <t>No</t>
        </is>
      </c>
      <c r="I138" s="3">
        <f>C138*D138*E138/8/1024</f>
        <v/>
      </c>
      <c r="J138" s="2" t="inlineStr">
        <is>
          <t>TREES.TIM</t>
        </is>
      </c>
    </row>
    <row r="139">
      <c r="A139" s="2" t="inlineStr">
        <is>
          <t>trees_dl</t>
        </is>
      </c>
      <c r="B139" s="2" t="inlineStr">
        <is>
          <t>textures/</t>
        </is>
      </c>
      <c r="C139" s="2" t="n">
        <v>128</v>
      </c>
      <c r="D139" s="2" t="n">
        <v>128</v>
      </c>
      <c r="E139" s="2" t="n">
        <v>4</v>
      </c>
      <c r="F139" s="2" t="n">
        <v>16</v>
      </c>
      <c r="G139" s="2" t="n">
        <v>14</v>
      </c>
      <c r="H139" s="2" t="inlineStr">
        <is>
          <t>No</t>
        </is>
      </c>
      <c r="I139" s="3">
        <f>C139*D139*E139/8/1024</f>
        <v/>
      </c>
      <c r="J139" s="2" t="inlineStr">
        <is>
          <t>TREESDL.TIM</t>
        </is>
      </c>
    </row>
    <row r="140">
      <c r="A140" s="2" t="inlineStr">
        <is>
          <t>upstairs</t>
        </is>
      </c>
      <c r="B140" s="2" t="inlineStr">
        <is>
          <t>textures/</t>
        </is>
      </c>
      <c r="C140" s="2" t="n">
        <v>128</v>
      </c>
      <c r="D140" s="2" t="n">
        <v>128</v>
      </c>
      <c r="E140" s="2" t="n">
        <v>4</v>
      </c>
      <c r="F140" s="2" t="n">
        <v>16</v>
      </c>
      <c r="G140" s="2" t="n">
        <v>13</v>
      </c>
      <c r="H140" s="2" t="inlineStr">
        <is>
          <t>No</t>
        </is>
      </c>
      <c r="I140" s="3">
        <f>C140*D140*E140/8/1024</f>
        <v/>
      </c>
      <c r="J140" s="2" t="inlineStr">
        <is>
          <t>UPSTAIRS.TIM</t>
        </is>
      </c>
    </row>
    <row r="141">
      <c r="A141" s="2" t="inlineStr">
        <is>
          <t>vines</t>
        </is>
      </c>
      <c r="B141" s="2" t="inlineStr">
        <is>
          <t>textures/</t>
        </is>
      </c>
      <c r="C141" s="2" t="n">
        <v>128</v>
      </c>
      <c r="D141" s="2" t="n">
        <v>128</v>
      </c>
      <c r="E141" s="2" t="n">
        <v>4</v>
      </c>
      <c r="F141" s="2" t="n">
        <v>16</v>
      </c>
      <c r="G141" s="2" t="n">
        <v>16</v>
      </c>
      <c r="H141" s="2" t="inlineStr">
        <is>
          <t>No</t>
        </is>
      </c>
      <c r="I141" s="3">
        <f>C141*D141*E141/8/1024</f>
        <v/>
      </c>
      <c r="J141" s="2" t="inlineStr">
        <is>
          <t>VINES.TIM</t>
        </is>
      </c>
    </row>
    <row r="142">
      <c r="A142" s="2" t="inlineStr">
        <is>
          <t>vlv_hndl</t>
        </is>
      </c>
      <c r="B142" s="2" t="inlineStr">
        <is>
          <t>textures/</t>
        </is>
      </c>
      <c r="C142" s="2" t="n">
        <v>64</v>
      </c>
      <c r="D142" s="2" t="n">
        <v>64</v>
      </c>
      <c r="E142" s="2" t="n">
        <v>4</v>
      </c>
      <c r="F142" s="2" t="n">
        <v>16</v>
      </c>
      <c r="G142" s="2" t="n">
        <v>10</v>
      </c>
      <c r="H142" s="2" t="inlineStr">
        <is>
          <t>Yes</t>
        </is>
      </c>
      <c r="I142" s="3">
        <f>C142*D142*E142/8/1024</f>
        <v/>
      </c>
      <c r="J142" s="2" t="inlineStr">
        <is>
          <t>VLVHNDL.TIM</t>
        </is>
      </c>
    </row>
    <row r="143">
      <c r="A143" s="2" t="inlineStr">
        <is>
          <t>wd_dr</t>
        </is>
      </c>
      <c r="B143" s="2" t="inlineStr">
        <is>
          <t>textures/</t>
        </is>
      </c>
      <c r="C143" s="2" t="n">
        <v>128</v>
      </c>
      <c r="D143" s="2" t="n">
        <v>128</v>
      </c>
      <c r="E143" s="2" t="n">
        <v>4</v>
      </c>
      <c r="F143" s="2" t="n">
        <v>16</v>
      </c>
      <c r="G143" s="2" t="n">
        <v>16</v>
      </c>
      <c r="H143" s="2" t="inlineStr">
        <is>
          <t>No</t>
        </is>
      </c>
      <c r="I143" s="3">
        <f>C143*D143*E143/8/1024</f>
        <v/>
      </c>
      <c r="J143" s="2" t="inlineStr">
        <is>
          <t>WDDR.TIM</t>
        </is>
      </c>
    </row>
    <row r="144">
      <c r="A144" s="2" t="inlineStr">
        <is>
          <t>wd_dr_crk</t>
        </is>
      </c>
      <c r="B144" s="2" t="inlineStr">
        <is>
          <t>textures/</t>
        </is>
      </c>
      <c r="C144" s="2" t="n">
        <v>128</v>
      </c>
      <c r="D144" s="2" t="n">
        <v>128</v>
      </c>
      <c r="E144" s="2" t="n">
        <v>4</v>
      </c>
      <c r="F144" s="2" t="n">
        <v>16</v>
      </c>
      <c r="G144" s="2" t="n">
        <v>16</v>
      </c>
      <c r="H144" s="2" t="inlineStr">
        <is>
          <t>No</t>
        </is>
      </c>
      <c r="I144" s="3">
        <f>C144*D144*E144/8/1024</f>
        <v/>
      </c>
      <c r="J144" s="2" t="inlineStr">
        <is>
          <t>WDDRCRK.TIM</t>
        </is>
      </c>
    </row>
    <row r="145">
      <c r="A145" s="2" t="inlineStr">
        <is>
          <t>wd_flr</t>
        </is>
      </c>
      <c r="B145" s="2" t="inlineStr">
        <is>
          <t>textures/</t>
        </is>
      </c>
      <c r="C145" s="2" t="n">
        <v>128</v>
      </c>
      <c r="D145" s="2" t="n">
        <v>128</v>
      </c>
      <c r="E145" s="2" t="n">
        <v>4</v>
      </c>
      <c r="F145" s="2" t="n">
        <v>16</v>
      </c>
      <c r="G145" s="2" t="n">
        <v>14</v>
      </c>
      <c r="H145" s="2" t="inlineStr">
        <is>
          <t>No</t>
        </is>
      </c>
      <c r="I145" s="3">
        <f>C145*D145*E145/8/1024</f>
        <v/>
      </c>
      <c r="J145" s="2" t="inlineStr">
        <is>
          <t>WDFLR.TIM</t>
        </is>
      </c>
    </row>
    <row r="146">
      <c r="A146" s="2" t="inlineStr">
        <is>
          <t>wdcrate</t>
        </is>
      </c>
      <c r="B146" s="2" t="inlineStr">
        <is>
          <t>textures/</t>
        </is>
      </c>
      <c r="C146" s="2" t="n">
        <v>64</v>
      </c>
      <c r="D146" s="2" t="n">
        <v>64</v>
      </c>
      <c r="E146" s="2" t="n">
        <v>4</v>
      </c>
      <c r="F146" s="2" t="n">
        <v>16</v>
      </c>
      <c r="G146" s="2" t="n">
        <v>16</v>
      </c>
      <c r="H146" s="2" t="inlineStr">
        <is>
          <t>No</t>
        </is>
      </c>
      <c r="I146" s="3">
        <f>C146*D146*E146/8/1024</f>
        <v/>
      </c>
      <c r="J146" s="2" t="inlineStr">
        <is>
          <t>WCRATE.TIM</t>
        </is>
      </c>
    </row>
    <row r="147">
      <c r="A147" s="2" t="inlineStr">
        <is>
          <t>wx_cb</t>
        </is>
      </c>
      <c r="B147" s="2" t="inlineStr">
        <is>
          <t>textures/</t>
        </is>
      </c>
      <c r="C147" s="2" t="n">
        <v>32</v>
      </c>
      <c r="D147" s="2" t="n">
        <v>32</v>
      </c>
      <c r="E147" s="2" t="n">
        <v>4</v>
      </c>
      <c r="F147" s="2" t="n">
        <v>16</v>
      </c>
      <c r="G147" s="2" t="n">
        <v>11</v>
      </c>
      <c r="H147" s="2" t="inlineStr">
        <is>
          <t>Yes</t>
        </is>
      </c>
      <c r="I147" s="3">
        <f>C147*D147*E147/8/1024</f>
        <v/>
      </c>
      <c r="J147" s="2" t="inlineStr">
        <is>
          <t>WXCB.TIM</t>
        </is>
      </c>
    </row>
    <row r="148">
      <c r="A148" s="2" t="inlineStr">
        <is>
          <t>xt_dr_cg</t>
        </is>
      </c>
      <c r="B148" s="2" t="inlineStr">
        <is>
          <t>textures/</t>
        </is>
      </c>
      <c r="C148" s="2" t="n">
        <v>128</v>
      </c>
      <c r="D148" s="2" t="n">
        <v>128</v>
      </c>
      <c r="E148" s="2" t="n">
        <v>8</v>
      </c>
      <c r="F148" s="2" t="n">
        <v>256</v>
      </c>
      <c r="G148" s="2" t="n">
        <v>168</v>
      </c>
      <c r="H148" s="2" t="inlineStr">
        <is>
          <t>Yes</t>
        </is>
      </c>
      <c r="I148" s="3">
        <f>C148*D148*E148/8/1024</f>
        <v/>
      </c>
      <c r="J148" s="2" t="inlineStr">
        <is>
          <t>XTDRCG.TIM</t>
        </is>
      </c>
    </row>
    <row r="149">
      <c r="A149" s="2" t="inlineStr">
        <is>
          <t>xt_dr_cmplt</t>
        </is>
      </c>
      <c r="B149" s="2" t="inlineStr">
        <is>
          <t>textures/</t>
        </is>
      </c>
      <c r="C149" s="2" t="n">
        <v>128</v>
      </c>
      <c r="D149" s="2" t="n">
        <v>128</v>
      </c>
      <c r="E149" s="2" t="n">
        <v>8</v>
      </c>
      <c r="F149" s="2" t="n">
        <v>256</v>
      </c>
      <c r="G149" s="2" t="n">
        <v>178</v>
      </c>
      <c r="H149" s="2" t="inlineStr">
        <is>
          <t>No</t>
        </is>
      </c>
      <c r="I149" s="3">
        <f>C149*D149*E149/8/1024</f>
        <v/>
      </c>
      <c r="J149" s="2" t="inlineStr">
        <is>
          <t>XTDRCMPL.TIM</t>
        </is>
      </c>
    </row>
    <row r="150">
      <c r="A150" s="2" t="inlineStr">
        <is>
          <t>xt_dr_lckd</t>
        </is>
      </c>
      <c r="B150" s="2" t="inlineStr">
        <is>
          <t>textures/</t>
        </is>
      </c>
      <c r="C150" s="2" t="n">
        <v>128</v>
      </c>
      <c r="D150" s="2" t="n">
        <v>128</v>
      </c>
      <c r="E150" s="2" t="n">
        <v>8</v>
      </c>
      <c r="F150" s="2" t="n">
        <v>256</v>
      </c>
      <c r="G150" s="2" t="n">
        <v>172</v>
      </c>
      <c r="H150" s="2" t="inlineStr">
        <is>
          <t>No</t>
        </is>
      </c>
      <c r="I150" s="3">
        <f>C150*D150*E150/8/1024</f>
        <v/>
      </c>
      <c r="J150" s="2" t="inlineStr">
        <is>
          <t>XTDRLCKD.TIM</t>
        </is>
      </c>
    </row>
    <row r="151">
      <c r="A151" s="2" t="inlineStr">
        <is>
          <t>xt_dr_lft_hlf</t>
        </is>
      </c>
      <c r="B151" s="2" t="inlineStr">
        <is>
          <t>textures/</t>
        </is>
      </c>
      <c r="C151" s="2" t="n">
        <v>64</v>
      </c>
      <c r="D151" s="2" t="n">
        <v>128</v>
      </c>
      <c r="E151" s="2" t="n">
        <v>8</v>
      </c>
      <c r="F151" s="2" t="n">
        <v>256</v>
      </c>
      <c r="G151" s="2" t="n">
        <v>160</v>
      </c>
      <c r="H151" s="2" t="inlineStr">
        <is>
          <t>Yes</t>
        </is>
      </c>
      <c r="I151" s="3">
        <f>C151*D151*E151/8/1024</f>
        <v/>
      </c>
      <c r="J151" s="2" t="inlineStr">
        <is>
          <t>XTDRLHLF.TIM</t>
        </is>
      </c>
    </row>
    <row r="152">
      <c r="A152" s="2" t="inlineStr">
        <is>
          <t>xt_dr_outr</t>
        </is>
      </c>
      <c r="B152" s="2" t="inlineStr">
        <is>
          <t>textures/</t>
        </is>
      </c>
      <c r="C152" s="2" t="n">
        <v>128</v>
      </c>
      <c r="D152" s="2" t="n">
        <v>128</v>
      </c>
      <c r="E152" s="2" t="n">
        <v>8</v>
      </c>
      <c r="F152" s="2" t="n">
        <v>256</v>
      </c>
      <c r="G152" s="2" t="n">
        <v>173</v>
      </c>
      <c r="H152" s="2" t="inlineStr">
        <is>
          <t>No</t>
        </is>
      </c>
      <c r="I152" s="3">
        <f>C152*D152*E152/8/1024</f>
        <v/>
      </c>
      <c r="J152" s="2" t="inlineStr">
        <is>
          <t>XTDROUTR.TIM</t>
        </is>
      </c>
    </row>
    <row r="153">
      <c r="A153" s="2" t="inlineStr">
        <is>
          <t>xt_dr_rt_hlf</t>
        </is>
      </c>
      <c r="B153" s="2" t="inlineStr">
        <is>
          <t>textures/</t>
        </is>
      </c>
      <c r="C153" s="2" t="n">
        <v>64</v>
      </c>
      <c r="D153" s="2" t="n">
        <v>128</v>
      </c>
      <c r="E153" s="2" t="n">
        <v>8</v>
      </c>
      <c r="F153" s="2" t="n">
        <v>256</v>
      </c>
      <c r="G153" s="2" t="n">
        <v>133</v>
      </c>
      <c r="H153" s="2" t="inlineStr">
        <is>
          <t>Yes</t>
        </is>
      </c>
      <c r="I153" s="3">
        <f>C153*D153*E153/8/1024</f>
        <v/>
      </c>
      <c r="J153" s="2" t="inlineStr">
        <is>
          <t>XTDRRHLF.TIM</t>
        </is>
      </c>
    </row>
    <row r="154">
      <c r="A154" s="2" t="inlineStr">
        <is>
          <t>ylw_ky_stn</t>
        </is>
      </c>
      <c r="B154" s="2" t="inlineStr">
        <is>
          <t>textures/</t>
        </is>
      </c>
      <c r="C154" s="2" t="n">
        <v>32</v>
      </c>
      <c r="D154" s="2" t="n">
        <v>32</v>
      </c>
      <c r="E154" s="2" t="n">
        <v>4</v>
      </c>
      <c r="F154" s="2" t="n">
        <v>16</v>
      </c>
      <c r="G154" s="2" t="n">
        <v>13</v>
      </c>
      <c r="H154" s="2" t="inlineStr">
        <is>
          <t>Yes</t>
        </is>
      </c>
      <c r="I154" s="3">
        <f>C154*D154*E154/8/1024</f>
        <v/>
      </c>
      <c r="J154" s="2" t="inlineStr">
        <is>
          <t>YLKYSTN.TIM</t>
        </is>
      </c>
    </row>
    <row r="155">
      <c r="A155" s="2" t="inlineStr">
        <is>
          <t>zombie_alert</t>
        </is>
      </c>
      <c r="B155" s="2" t="inlineStr">
        <is>
          <t>textures/</t>
        </is>
      </c>
      <c r="C155" s="2" t="n">
        <v>64</v>
      </c>
      <c r="D155" s="2" t="n">
        <v>128</v>
      </c>
      <c r="E155" s="2" t="n">
        <v>4</v>
      </c>
      <c r="F155" s="2" t="n">
        <v>16</v>
      </c>
      <c r="G155" s="2" t="n">
        <v>12</v>
      </c>
      <c r="H155" s="2" t="inlineStr">
        <is>
          <t>Yes</t>
        </is>
      </c>
      <c r="I155" s="3">
        <f>C155*D155*E155/8/1024</f>
        <v/>
      </c>
      <c r="J155" s="2" t="inlineStr">
        <is>
          <t>ZALERT.TIM</t>
        </is>
      </c>
    </row>
    <row r="156">
      <c r="A156" s="2" t="inlineStr">
        <is>
          <t>zombie_sleep</t>
        </is>
      </c>
      <c r="B156" s="2" t="inlineStr">
        <is>
          <t>textures/</t>
        </is>
      </c>
      <c r="C156" s="2" t="n">
        <v>64</v>
      </c>
      <c r="D156" s="2" t="n">
        <v>128</v>
      </c>
      <c r="E156" s="2" t="n">
        <v>4</v>
      </c>
      <c r="F156" s="2" t="n">
        <v>16</v>
      </c>
      <c r="G156" s="2" t="n">
        <v>12</v>
      </c>
      <c r="H156" s="2" t="inlineStr">
        <is>
          <t>Yes</t>
        </is>
      </c>
      <c r="I156" s="3">
        <f>C156*D156*E156/8/1024</f>
        <v/>
      </c>
      <c r="J156" s="2" t="inlineStr">
        <is>
          <t>ZSLEEP.TIM</t>
        </is>
      </c>
    </row>
  </sheetData>
  <autoFilter ref="A1:J156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4" t="inlineStr">
        <is>
          <t>Measure</t>
        </is>
      </c>
      <c r="B1" s="4" t="inlineStr">
        <is>
          <t>Value</t>
        </is>
      </c>
    </row>
    <row r="2">
      <c r="A2" s="2" t="inlineStr">
        <is>
          <t>Textures on disc</t>
        </is>
      </c>
      <c r="B2" s="2">
        <f>COUNTA(Textures!$A$2:$A$156)</f>
        <v/>
      </c>
    </row>
    <row r="3">
      <c r="A3" s="2" t="inlineStr">
        <is>
          <t>4-bit textures</t>
        </is>
      </c>
      <c r="B3" s="2">
        <f>COUNTIF(Textures!$E$2:$E$156,4)</f>
        <v/>
      </c>
    </row>
    <row r="4">
      <c r="A4" s="2" t="inlineStr">
        <is>
          <t>8-bit textures</t>
        </is>
      </c>
      <c r="B4" s="2">
        <f>COUNTIF(Textures!$E$2:$E$156,8)</f>
        <v/>
      </c>
    </row>
    <row r="5">
      <c r="A5" s="2" t="inlineStr">
        <is>
          <t>16-bit textures</t>
        </is>
      </c>
      <c r="B5" s="2">
        <f>COUNTIF(Textures!$E$2:$E$156,16)</f>
        <v/>
      </c>
    </row>
    <row r="6">
      <c r="A6" s="2" t="inlineStr">
        <is>
          <t>8-bit textures using 16 colours or fewer</t>
        </is>
      </c>
      <c r="B6" s="2">
        <f>COUNTIFS(Textures!$E$2:$E$156,8,Textures!$G$2:$G$156,"&lt;=16")</f>
        <v/>
      </c>
    </row>
    <row r="7">
      <c r="A7" s="2" t="inlineStr">
        <is>
          <t>Textures with see-through pixels</t>
        </is>
      </c>
      <c r="B7" s="2">
        <f>COUNTIF(Textures!$H$2:$H$156,"Yes")</f>
        <v/>
      </c>
    </row>
    <row r="8">
      <c r="A8" s="2" t="inlineStr">
        <is>
          <t>Total pixel data (KB)</t>
        </is>
      </c>
      <c r="B8" s="5">
        <f>SUM(Textures!$I$2:$I$156)</f>
        <v/>
      </c>
    </row>
    <row r="10">
      <c r="A10" s="6" t="inlineStr">
        <is>
          <t>Source: every .tim listed in disc.xml, read from the TIM headers on 16 Oct 2026, after the 4bpp texture rework.</t>
        </is>
      </c>
    </row>
    <row r="11">
      <c r="A11" s="6" t="inlineStr">
        <is>
          <t>Not on the disc, so not listed: bars_128, chain_128, incinerator, ladder_128, pipe_128, rusty_128.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2026-10-16T20:04:41Z</dcterms:created>
  <dcterms:modified xsi:type="dcterms:W3CDTF">2026-10-16T20:04:41Z</dcterms:modified>
</cp:coreProperties>
</file>