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om Textures" sheetId="2" state="visible" r:id="rId2"/>
    <sheet name="Doors" sheetId="3" state="visible" r:id="rId3"/>
    <sheet name="Props" sheetId="4" state="visible" r:id="rId4"/>
    <sheet name="Collectibles" sheetId="5" state="visible" r:id="rId5"/>
    <sheet name="Weapons &amp; Ammo" sheetId="6" state="visible" r:id="rId6"/>
    <sheet name="Puzzles &amp; Clues" sheetId="7" state="visible" r:id="rId7"/>
    <sheet name="Enemies" sheetId="8" state="visible" r:id="rId8"/>
    <sheet name="Bosses" sheetId="9" state="visible" r:id="rId9"/>
    <sheet name="UI &amp; Effects" sheetId="10" state="visible" r:id="rId10"/>
  </sheets>
  <definedNames>
    <definedName name="_xlnm._FilterDatabase" localSheetId="1" hidden="1">'Room Textures'!$A$1:$J$38</definedName>
    <definedName name="_xlnm._FilterDatabase" localSheetId="2" hidden="1">'Doors'!$A$1:$J$18</definedName>
    <definedName name="_xlnm._FilterDatabase" localSheetId="3" hidden="1">'Props'!$A$1:$J$27</definedName>
    <definedName name="_xlnm._FilterDatabase" localSheetId="4" hidden="1">'Collectibles'!$A$1:$J$15</definedName>
    <definedName name="_xlnm._FilterDatabase" localSheetId="5" hidden="1">'Weapons &amp; Ammo'!$A$1:$J$7</definedName>
    <definedName name="_xlnm._FilterDatabase" localSheetId="6" hidden="1">'Puzzles &amp; Clues'!$A$1:$J$16</definedName>
    <definedName name="_xlnm._FilterDatabase" localSheetId="7" hidden="1">'Enemies'!$A$1:$J$27</definedName>
    <definedName name="_xlnm._FilterDatabase" localSheetId="8" hidden="1">'Bosses'!$A$1:$J$9</definedName>
    <definedName name="_xlnm._FilterDatabase" localSheetId="9" hidden="1">'UI &amp; Effects'!$A$1:$J$7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5A2A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Claude</author>
  </authors>
  <commentList>
    <comment ref="F1" authorId="0" shapeId="0">
      <text>
        <t>Colours the format can hold: 16 for 4-bit, 256 for 8-bit. 16-bit textures have no palette.</t>
      </text>
    </comment>
    <comment ref="G1" authorId="0" shapeId="0">
      <text>
        <t>Distinct colours actually present in the image (includes the see-through colour 0x0000 where used). Red = 8-bit texture using 16 or fewer colours, so it would fit in 4-bit.</t>
      </text>
    </comment>
    <comment ref="H1" authorId="0" shapeId="0">
      <text>
        <t>Yes = at least one pixel is colour 0x0000, which the GPU skips.</t>
      </text>
    </comment>
    <comment ref="I1" authorId="0" shapeId="0">
      <text>
        <t>Pixel data only: width x height x bit depth / 8 / 1024. Palette not included.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F1" authorId="0" shapeId="0">
      <text>
        <t>Colours the format can hold: 16 for 4-bit, 256 for 8-bit. 16-bit textures have no palette.</t>
      </text>
    </comment>
    <comment ref="G1" authorId="0" shapeId="0">
      <text>
        <t>Distinct colours actually present in the image (includes the see-through colour 0x0000 where used). Red = 8-bit texture using 16 or fewer colours, so it would fit in 4-bit.</t>
      </text>
    </comment>
    <comment ref="H1" authorId="0" shapeId="0">
      <text>
        <t>Yes = at least one pixel is colour 0x0000, which the GPU skips.</t>
      </text>
    </comment>
    <comment ref="I1" authorId="0" shapeId="0">
      <text>
        <t>Pixel data only: width x height x bit depth / 8 / 1024. Palette not included.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F1" authorId="0" shapeId="0">
      <text>
        <t>Colours the format can hold: 16 for 4-bit, 256 for 8-bit. 16-bit textures have no palette.</t>
      </text>
    </comment>
    <comment ref="G1" authorId="0" shapeId="0">
      <text>
        <t>Distinct colours actually present in the image (includes the see-through colour 0x0000 where used). Red = 8-bit texture using 16 or fewer colours, so it would fit in 4-bit.</t>
      </text>
    </comment>
    <comment ref="H1" authorId="0" shapeId="0">
      <text>
        <t>Yes = at least one pixel is colour 0x0000, which the GPU skips.</t>
      </text>
    </comment>
    <comment ref="I1" authorId="0" shapeId="0">
      <text>
        <t>Pixel data only: width x height x bit depth / 8 / 1024. Palette not included.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F1" authorId="0" shapeId="0">
      <text>
        <t>Colours the format can hold: 16 for 4-bit, 256 for 8-bit. 16-bit textures have no palette.</t>
      </text>
    </comment>
    <comment ref="G1" authorId="0" shapeId="0">
      <text>
        <t>Distinct colours actually present in the image (includes the see-through colour 0x0000 where used). Red = 8-bit texture using 16 or fewer colours, so it would fit in 4-bit.</t>
      </text>
    </comment>
    <comment ref="H1" authorId="0" shapeId="0">
      <text>
        <t>Yes = at least one pixel is colour 0x0000, which the GPU skips.</t>
      </text>
    </comment>
    <comment ref="I1" authorId="0" shapeId="0">
      <text>
        <t>Pixel data only: width x height x bit depth / 8 / 1024. Palette not included.</t>
      </text>
    </comment>
  </commentList>
</comments>
</file>

<file path=xl/comments/comment5.xml><?xml version="1.0" encoding="utf-8"?>
<comments xmlns="http://schemas.openxmlformats.org/spreadsheetml/2006/main">
  <authors>
    <author>Claude</author>
  </authors>
  <commentList>
    <comment ref="F1" authorId="0" shapeId="0">
      <text>
        <t>Colours the format can hold: 16 for 4-bit, 256 for 8-bit. 16-bit textures have no palette.</t>
      </text>
    </comment>
    <comment ref="G1" authorId="0" shapeId="0">
      <text>
        <t>Distinct colours actually present in the image (includes the see-through colour 0x0000 where used). Red = 8-bit texture using 16 or fewer colours, so it would fit in 4-bit.</t>
      </text>
    </comment>
    <comment ref="H1" authorId="0" shapeId="0">
      <text>
        <t>Yes = at least one pixel is colour 0x0000, which the GPU skips.</t>
      </text>
    </comment>
    <comment ref="I1" authorId="0" shapeId="0">
      <text>
        <t>Pixel data only: width x height x bit depth / 8 / 1024. Palette not included.</t>
      </text>
    </comment>
  </commentList>
</comments>
</file>

<file path=xl/comments/comment6.xml><?xml version="1.0" encoding="utf-8"?>
<comments xmlns="http://schemas.openxmlformats.org/spreadsheetml/2006/main">
  <authors>
    <author>Claude</author>
  </authors>
  <commentList>
    <comment ref="F1" authorId="0" shapeId="0">
      <text>
        <t>Colours the format can hold: 16 for 4-bit, 256 for 8-bit. 16-bit textures have no palette.</t>
      </text>
    </comment>
    <comment ref="G1" authorId="0" shapeId="0">
      <text>
        <t>Distinct colours actually present in the image (includes the see-through colour 0x0000 where used). Red = 8-bit texture using 16 or fewer colours, so it would fit in 4-bit.</t>
      </text>
    </comment>
    <comment ref="H1" authorId="0" shapeId="0">
      <text>
        <t>Yes = at least one pixel is colour 0x0000, which the GPU skips.</t>
      </text>
    </comment>
    <comment ref="I1" authorId="0" shapeId="0">
      <text>
        <t>Pixel data only: width x height x bit depth / 8 / 1024. Palette not included.</t>
      </text>
    </comment>
  </commentList>
</comments>
</file>

<file path=xl/comments/comment7.xml><?xml version="1.0" encoding="utf-8"?>
<comments xmlns="http://schemas.openxmlformats.org/spreadsheetml/2006/main">
  <authors>
    <author>Claude</author>
  </authors>
  <commentList>
    <comment ref="F1" authorId="0" shapeId="0">
      <text>
        <t>Colours the format can hold: 16 for 4-bit, 256 for 8-bit. 16-bit textures have no palette.</t>
      </text>
    </comment>
    <comment ref="G1" authorId="0" shapeId="0">
      <text>
        <t>Distinct colours actually present in the image (includes the see-through colour 0x0000 where used). Red = 8-bit texture using 16 or fewer colours, so it would fit in 4-bit.</t>
      </text>
    </comment>
    <comment ref="H1" authorId="0" shapeId="0">
      <text>
        <t>Yes = at least one pixel is colour 0x0000, which the GPU skips.</t>
      </text>
    </comment>
    <comment ref="I1" authorId="0" shapeId="0">
      <text>
        <t>Pixel data only: width x height x bit depth / 8 / 1024. Palette not included.</t>
      </text>
    </comment>
  </commentList>
</comments>
</file>

<file path=xl/comments/comment8.xml><?xml version="1.0" encoding="utf-8"?>
<comments xmlns="http://schemas.openxmlformats.org/spreadsheetml/2006/main">
  <authors>
    <author>Claude</author>
  </authors>
  <commentList>
    <comment ref="F1" authorId="0" shapeId="0">
      <text>
        <t>Colours the format can hold: 16 for 4-bit, 256 for 8-bit. 16-bit textures have no palette.</t>
      </text>
    </comment>
    <comment ref="G1" authorId="0" shapeId="0">
      <text>
        <t>Distinct colours actually present in the image (includes the see-through colour 0x0000 where used). Red = 8-bit texture using 16 or fewer colours, so it would fit in 4-bit.</t>
      </text>
    </comment>
    <comment ref="H1" authorId="0" shapeId="0">
      <text>
        <t>Yes = at least one pixel is colour 0x0000, which the GPU skips.</t>
      </text>
    </comment>
    <comment ref="I1" authorId="0" shapeId="0">
      <text>
        <t>Pixel data only: width x height x bit depth / 8 / 1024. Palette not included.</t>
      </text>
    </comment>
  </commentList>
</comments>
</file>

<file path=xl/comments/comment9.xml><?xml version="1.0" encoding="utf-8"?>
<comments xmlns="http://schemas.openxmlformats.org/spreadsheetml/2006/main">
  <authors>
    <author>Claude</author>
  </authors>
  <commentList>
    <comment ref="F1" authorId="0" shapeId="0">
      <text>
        <t>Colours the format can hold: 16 for 4-bit, 256 for 8-bit. 16-bit textures have no palette.</t>
      </text>
    </comment>
    <comment ref="G1" authorId="0" shapeId="0">
      <text>
        <t>Distinct colours actually present in the image (includes the see-through colour 0x0000 where used). Red = 8-bit texture using 16 or fewer colours, so it would fit in 4-bit.</t>
      </text>
    </comment>
    <comment ref="H1" authorId="0" shapeId="0">
      <text>
        <t>Yes = at least one pixel is colour 0x0000, which the GPU skips.</t>
      </text>
    </comment>
    <comment ref="I1" authorId="0" shapeId="0">
      <text>
        <t>Pixel data only: width x height x bit depth / 8 / 1024. Palette not included.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Category</t>
        </is>
      </c>
      <c r="B1" s="1" t="inlineStr">
        <is>
          <t>Textures</t>
        </is>
      </c>
      <c r="C1" s="1" t="inlineStr">
        <is>
          <t>4-bit</t>
        </is>
      </c>
      <c r="D1" s="1" t="inlineStr">
        <is>
          <t>8-bit</t>
        </is>
      </c>
      <c r="E1" s="1" t="inlineStr">
        <is>
          <t>16-bit</t>
        </is>
      </c>
      <c r="F1" s="1" t="inlineStr">
        <is>
          <t>8-bit using ≤16 colours</t>
        </is>
      </c>
      <c r="G1" s="1" t="inlineStr">
        <is>
          <t>With see-through pixels</t>
        </is>
      </c>
      <c r="H1" s="1" t="inlineStr">
        <is>
          <t>Pixel data (KB)</t>
        </is>
      </c>
    </row>
    <row r="2">
      <c r="A2" s="2" t="inlineStr">
        <is>
          <t>Room Textures</t>
        </is>
      </c>
      <c r="B2" s="2">
        <f>COUNTA('Room Textures'!$A$2:$A$38)</f>
        <v/>
      </c>
      <c r="C2" s="2">
        <f>COUNTIF('Room Textures'!$E$2:$E$38,4)</f>
        <v/>
      </c>
      <c r="D2" s="2">
        <f>COUNTIF('Room Textures'!$E$2:$E$38,8)</f>
        <v/>
      </c>
      <c r="E2" s="2">
        <f>COUNTIF('Room Textures'!$E$2:$E$38,16)</f>
        <v/>
      </c>
      <c r="F2" s="2">
        <f>COUNTIFS('Room Textures'!$E$2:$E$38,8,'Room Textures'!$G$2:$G$38,"&lt;=16")</f>
        <v/>
      </c>
      <c r="G2" s="2">
        <f>COUNTIF('Room Textures'!$H$2:$H$38,"Yes")</f>
        <v/>
      </c>
      <c r="H2" s="3">
        <f>SUM('Room Textures'!$I$2:$I$38)</f>
        <v/>
      </c>
    </row>
    <row r="3">
      <c r="A3" s="2" t="inlineStr">
        <is>
          <t>Doors</t>
        </is>
      </c>
      <c r="B3" s="2">
        <f>COUNTA('Doors'!$A$2:$A$18)</f>
        <v/>
      </c>
      <c r="C3" s="2">
        <f>COUNTIF('Doors'!$E$2:$E$18,4)</f>
        <v/>
      </c>
      <c r="D3" s="2">
        <f>COUNTIF('Doors'!$E$2:$E$18,8)</f>
        <v/>
      </c>
      <c r="E3" s="2">
        <f>COUNTIF('Doors'!$E$2:$E$18,16)</f>
        <v/>
      </c>
      <c r="F3" s="2">
        <f>COUNTIFS('Doors'!$E$2:$E$18,8,'Doors'!$G$2:$G$18,"&lt;=16")</f>
        <v/>
      </c>
      <c r="G3" s="2">
        <f>COUNTIF('Doors'!$H$2:$H$18,"Yes")</f>
        <v/>
      </c>
      <c r="H3" s="3">
        <f>SUM('Doors'!$I$2:$I$18)</f>
        <v/>
      </c>
    </row>
    <row r="4">
      <c r="A4" s="2" t="inlineStr">
        <is>
          <t>Props</t>
        </is>
      </c>
      <c r="B4" s="2">
        <f>COUNTA('Props'!$A$2:$A$27)</f>
        <v/>
      </c>
      <c r="C4" s="2">
        <f>COUNTIF('Props'!$E$2:$E$27,4)</f>
        <v/>
      </c>
      <c r="D4" s="2">
        <f>COUNTIF('Props'!$E$2:$E$27,8)</f>
        <v/>
      </c>
      <c r="E4" s="2">
        <f>COUNTIF('Props'!$E$2:$E$27,16)</f>
        <v/>
      </c>
      <c r="F4" s="2">
        <f>COUNTIFS('Props'!$E$2:$E$27,8,'Props'!$G$2:$G$27,"&lt;=16")</f>
        <v/>
      </c>
      <c r="G4" s="2">
        <f>COUNTIF('Props'!$H$2:$H$27,"Yes")</f>
        <v/>
      </c>
      <c r="H4" s="3">
        <f>SUM('Props'!$I$2:$I$27)</f>
        <v/>
      </c>
    </row>
    <row r="5">
      <c r="A5" s="2" t="inlineStr">
        <is>
          <t>Collectibles</t>
        </is>
      </c>
      <c r="B5" s="2">
        <f>COUNTA('Collectibles'!$A$2:$A$15)</f>
        <v/>
      </c>
      <c r="C5" s="2">
        <f>COUNTIF('Collectibles'!$E$2:$E$15,4)</f>
        <v/>
      </c>
      <c r="D5" s="2">
        <f>COUNTIF('Collectibles'!$E$2:$E$15,8)</f>
        <v/>
      </c>
      <c r="E5" s="2">
        <f>COUNTIF('Collectibles'!$E$2:$E$15,16)</f>
        <v/>
      </c>
      <c r="F5" s="2">
        <f>COUNTIFS('Collectibles'!$E$2:$E$15,8,'Collectibles'!$G$2:$G$15,"&lt;=16")</f>
        <v/>
      </c>
      <c r="G5" s="2">
        <f>COUNTIF('Collectibles'!$H$2:$H$15,"Yes")</f>
        <v/>
      </c>
      <c r="H5" s="3">
        <f>SUM('Collectibles'!$I$2:$I$15)</f>
        <v/>
      </c>
    </row>
    <row r="6">
      <c r="A6" s="2" t="inlineStr">
        <is>
          <t>Weapons &amp; Ammo</t>
        </is>
      </c>
      <c r="B6" s="2">
        <f>COUNTA('Weapons &amp; Ammo'!$A$2:$A$7)</f>
        <v/>
      </c>
      <c r="C6" s="2">
        <f>COUNTIF('Weapons &amp; Ammo'!$E$2:$E$7,4)</f>
        <v/>
      </c>
      <c r="D6" s="2">
        <f>COUNTIF('Weapons &amp; Ammo'!$E$2:$E$7,8)</f>
        <v/>
      </c>
      <c r="E6" s="2">
        <f>COUNTIF('Weapons &amp; Ammo'!$E$2:$E$7,16)</f>
        <v/>
      </c>
      <c r="F6" s="2">
        <f>COUNTIFS('Weapons &amp; Ammo'!$E$2:$E$7,8,'Weapons &amp; Ammo'!$G$2:$G$7,"&lt;=16")</f>
        <v/>
      </c>
      <c r="G6" s="2">
        <f>COUNTIF('Weapons &amp; Ammo'!$H$2:$H$7,"Yes")</f>
        <v/>
      </c>
      <c r="H6" s="3">
        <f>SUM('Weapons &amp; Ammo'!$I$2:$I$7)</f>
        <v/>
      </c>
    </row>
    <row r="7">
      <c r="A7" s="2" t="inlineStr">
        <is>
          <t>Puzzles &amp; Clues</t>
        </is>
      </c>
      <c r="B7" s="2">
        <f>COUNTA('Puzzles &amp; Clues'!$A$2:$A$16)</f>
        <v/>
      </c>
      <c r="C7" s="2">
        <f>COUNTIF('Puzzles &amp; Clues'!$E$2:$E$16,4)</f>
        <v/>
      </c>
      <c r="D7" s="2">
        <f>COUNTIF('Puzzles &amp; Clues'!$E$2:$E$16,8)</f>
        <v/>
      </c>
      <c r="E7" s="2">
        <f>COUNTIF('Puzzles &amp; Clues'!$E$2:$E$16,16)</f>
        <v/>
      </c>
      <c r="F7" s="2">
        <f>COUNTIFS('Puzzles &amp; Clues'!$E$2:$E$16,8,'Puzzles &amp; Clues'!$G$2:$G$16,"&lt;=16")</f>
        <v/>
      </c>
      <c r="G7" s="2">
        <f>COUNTIF('Puzzles &amp; Clues'!$H$2:$H$16,"Yes")</f>
        <v/>
      </c>
      <c r="H7" s="3">
        <f>SUM('Puzzles &amp; Clues'!$I$2:$I$16)</f>
        <v/>
      </c>
    </row>
    <row r="8">
      <c r="A8" s="2" t="inlineStr">
        <is>
          <t>Enemies</t>
        </is>
      </c>
      <c r="B8" s="2">
        <f>COUNTA('Enemies'!$A$2:$A$27)</f>
        <v/>
      </c>
      <c r="C8" s="2">
        <f>COUNTIF('Enemies'!$E$2:$E$27,4)</f>
        <v/>
      </c>
      <c r="D8" s="2">
        <f>COUNTIF('Enemies'!$E$2:$E$27,8)</f>
        <v/>
      </c>
      <c r="E8" s="2">
        <f>COUNTIF('Enemies'!$E$2:$E$27,16)</f>
        <v/>
      </c>
      <c r="F8" s="2">
        <f>COUNTIFS('Enemies'!$E$2:$E$27,8,'Enemies'!$G$2:$G$27,"&lt;=16")</f>
        <v/>
      </c>
      <c r="G8" s="2">
        <f>COUNTIF('Enemies'!$H$2:$H$27,"Yes")</f>
        <v/>
      </c>
      <c r="H8" s="3">
        <f>SUM('Enemies'!$I$2:$I$27)</f>
        <v/>
      </c>
    </row>
    <row r="9">
      <c r="A9" s="2" t="inlineStr">
        <is>
          <t>Bosses</t>
        </is>
      </c>
      <c r="B9" s="2">
        <f>COUNTA('Bosses'!$A$2:$A$9)</f>
        <v/>
      </c>
      <c r="C9" s="2">
        <f>COUNTIF('Bosses'!$E$2:$E$9,4)</f>
        <v/>
      </c>
      <c r="D9" s="2">
        <f>COUNTIF('Bosses'!$E$2:$E$9,8)</f>
        <v/>
      </c>
      <c r="E9" s="2">
        <f>COUNTIF('Bosses'!$E$2:$E$9,16)</f>
        <v/>
      </c>
      <c r="F9" s="2">
        <f>COUNTIFS('Bosses'!$E$2:$E$9,8,'Bosses'!$G$2:$G$9,"&lt;=16")</f>
        <v/>
      </c>
      <c r="G9" s="2">
        <f>COUNTIF('Bosses'!$H$2:$H$9,"Yes")</f>
        <v/>
      </c>
      <c r="H9" s="3">
        <f>SUM('Bosses'!$I$2:$I$9)</f>
        <v/>
      </c>
    </row>
    <row r="10">
      <c r="A10" s="2" t="inlineStr">
        <is>
          <t>UI &amp; Effects</t>
        </is>
      </c>
      <c r="B10" s="2">
        <f>COUNTA('UI &amp; Effects'!$A$2:$A$7)</f>
        <v/>
      </c>
      <c r="C10" s="2">
        <f>COUNTIF('UI &amp; Effects'!$E$2:$E$7,4)</f>
        <v/>
      </c>
      <c r="D10" s="2">
        <f>COUNTIF('UI &amp; Effects'!$E$2:$E$7,8)</f>
        <v/>
      </c>
      <c r="E10" s="2">
        <f>COUNTIF('UI &amp; Effects'!$E$2:$E$7,16)</f>
        <v/>
      </c>
      <c r="F10" s="2">
        <f>COUNTIFS('UI &amp; Effects'!$E$2:$E$7,8,'UI &amp; Effects'!$G$2:$G$7,"&lt;=16")</f>
        <v/>
      </c>
      <c r="G10" s="2">
        <f>COUNTIF('UI &amp; Effects'!$H$2:$H$7,"Yes")</f>
        <v/>
      </c>
      <c r="H10" s="3">
        <f>SUM('UI &amp; Effects'!$I$2:$I$7)</f>
        <v/>
      </c>
    </row>
    <row r="11">
      <c r="A11" s="4" t="inlineStr">
        <is>
          <t>Total</t>
        </is>
      </c>
      <c r="B11" s="4">
        <f>SUM(B2:B10)</f>
        <v/>
      </c>
      <c r="C11" s="4">
        <f>SUM(C2:C10)</f>
        <v/>
      </c>
      <c r="D11" s="4">
        <f>SUM(D2:D10)</f>
        <v/>
      </c>
      <c r="E11" s="4">
        <f>SUM(E2:E10)</f>
        <v/>
      </c>
      <c r="F11" s="4">
        <f>SUM(F2:F10)</f>
        <v/>
      </c>
      <c r="G11" s="4">
        <f>SUM(G2:G10)</f>
        <v/>
      </c>
      <c r="H11" s="5">
        <f>SUM(H2:H10)</f>
        <v/>
      </c>
    </row>
    <row r="13">
      <c r="A13" s="6" t="inlineStr">
        <is>
          <t>Source: every .tim listed in disc.xml, read from the TIM headers on 16 Oct 2026, after the 4bpp texture rework.</t>
        </is>
      </c>
    </row>
    <row r="14">
      <c r="A14" s="6" t="inlineStr">
        <is>
          <t>Categories are assigned from the source module that registers each texture.</t>
        </is>
      </c>
    </row>
    <row r="15">
      <c r="A15" s="6" t="inlineStr">
        <is>
          <t>Not on the disc, so not listed: bars_128, chain_128, incinerator (textures/catacombs), ladder_128, pipe_128, rusty_128.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0" customWidth="1" min="5" max="5"/>
    <col width="13" customWidth="1" min="6" max="6"/>
    <col width="13" customWidth="1" min="7" max="7"/>
    <col width="12" customWidth="1" min="8" max="8"/>
    <col width="11" customWidth="1" min="9" max="9"/>
    <col width="24" customWidth="1" min="10" max="10"/>
  </cols>
  <sheetData>
    <row r="1">
      <c r="A1" s="7" t="inlineStr">
        <is>
          <t>Texture</t>
        </is>
      </c>
      <c r="B1" s="7" t="inlineStr">
        <is>
          <t>Folder</t>
        </is>
      </c>
      <c r="C1" s="7" t="inlineStr">
        <is>
          <t>Width (px)</t>
        </is>
      </c>
      <c r="D1" s="7" t="inlineStr">
        <is>
          <t>Height (px)</t>
        </is>
      </c>
      <c r="E1" s="7" t="inlineStr">
        <is>
          <t>Bit depth</t>
        </is>
      </c>
      <c r="F1" s="7" t="inlineStr">
        <is>
          <t>Palette slots</t>
        </is>
      </c>
      <c r="G1" s="7" t="inlineStr">
        <is>
          <t>Colours used</t>
        </is>
      </c>
      <c r="H1" s="7" t="inlineStr">
        <is>
          <t>Transparent</t>
        </is>
      </c>
      <c r="I1" s="7" t="inlineStr">
        <is>
          <t>VRAM (KB)</t>
        </is>
      </c>
      <c r="J1" s="7" t="inlineStr">
        <is>
          <t>Disc file</t>
        </is>
      </c>
    </row>
    <row r="2">
      <c r="A2" s="2" t="inlineStr">
        <is>
          <t>arms2</t>
        </is>
      </c>
      <c r="B2" s="2" t="inlineStr">
        <is>
          <t>textures/</t>
        </is>
      </c>
      <c r="C2" s="2" t="n">
        <v>128</v>
      </c>
      <c r="D2" s="2" t="n">
        <v>128</v>
      </c>
      <c r="E2" s="2" t="n">
        <v>4</v>
      </c>
      <c r="F2" s="2" t="n">
        <v>16</v>
      </c>
      <c r="G2" s="2" t="n">
        <v>16</v>
      </c>
      <c r="H2" s="2" t="inlineStr">
        <is>
          <t>No</t>
        </is>
      </c>
      <c r="I2" s="8">
        <f>C2*D2*E2/8/1024</f>
        <v/>
      </c>
      <c r="J2" s="2" t="inlineStr">
        <is>
          <t>ARMS2.TIM</t>
        </is>
      </c>
    </row>
    <row r="3">
      <c r="A3" s="2" t="inlineStr">
        <is>
          <t>bones</t>
        </is>
      </c>
      <c r="B3" s="2" t="inlineStr">
        <is>
          <t>textures/</t>
        </is>
      </c>
      <c r="C3" s="2" t="n">
        <v>128</v>
      </c>
      <c r="D3" s="2" t="n">
        <v>128</v>
      </c>
      <c r="E3" s="2" t="n">
        <v>4</v>
      </c>
      <c r="F3" s="2" t="n">
        <v>16</v>
      </c>
      <c r="G3" s="2" t="n">
        <v>15</v>
      </c>
      <c r="H3" s="2" t="inlineStr">
        <is>
          <t>No</t>
        </is>
      </c>
      <c r="I3" s="8">
        <f>C3*D3*E3/8/1024</f>
        <v/>
      </c>
      <c r="J3" s="2" t="inlineStr">
        <is>
          <t>BONES.TIM</t>
        </is>
      </c>
    </row>
    <row r="4">
      <c r="A4" s="2" t="inlineStr">
        <is>
          <t>brick_wall</t>
        </is>
      </c>
      <c r="B4" s="2" t="inlineStr">
        <is>
          <t>textures/</t>
        </is>
      </c>
      <c r="C4" s="2" t="n">
        <v>128</v>
      </c>
      <c r="D4" s="2" t="n">
        <v>128</v>
      </c>
      <c r="E4" s="2" t="n">
        <v>4</v>
      </c>
      <c r="F4" s="2" t="n">
        <v>16</v>
      </c>
      <c r="G4" s="2" t="n">
        <v>16</v>
      </c>
      <c r="H4" s="2" t="inlineStr">
        <is>
          <t>No</t>
        </is>
      </c>
      <c r="I4" s="8">
        <f>C4*D4*E4/8/1024</f>
        <v/>
      </c>
      <c r="J4" s="2" t="inlineStr">
        <is>
          <t>BRIKWLL.TIM</t>
        </is>
      </c>
    </row>
    <row r="5">
      <c r="A5" s="2" t="inlineStr">
        <is>
          <t>chnlnk</t>
        </is>
      </c>
      <c r="B5" s="2" t="inlineStr">
        <is>
          <t>textures/</t>
        </is>
      </c>
      <c r="C5" s="2" t="n">
        <v>128</v>
      </c>
      <c r="D5" s="2" t="n">
        <v>128</v>
      </c>
      <c r="E5" s="2" t="n">
        <v>4</v>
      </c>
      <c r="F5" s="2" t="n">
        <v>16</v>
      </c>
      <c r="G5" s="2" t="n">
        <v>15</v>
      </c>
      <c r="H5" s="2" t="inlineStr">
        <is>
          <t>Yes</t>
        </is>
      </c>
      <c r="I5" s="8">
        <f>C5*D5*E5/8/1024</f>
        <v/>
      </c>
      <c r="J5" s="2" t="inlineStr">
        <is>
          <t>CHNLNK.TIM</t>
        </is>
      </c>
    </row>
    <row r="6">
      <c r="A6" s="2" t="inlineStr">
        <is>
          <t>chnlnk_dl</t>
        </is>
      </c>
      <c r="B6" s="2" t="inlineStr">
        <is>
          <t>textures/</t>
        </is>
      </c>
      <c r="C6" s="2" t="n">
        <v>128</v>
      </c>
      <c r="D6" s="2" t="n">
        <v>128</v>
      </c>
      <c r="E6" s="2" t="n">
        <v>4</v>
      </c>
      <c r="F6" s="2" t="n">
        <v>16</v>
      </c>
      <c r="G6" s="2" t="n">
        <v>15</v>
      </c>
      <c r="H6" s="2" t="inlineStr">
        <is>
          <t>Yes</t>
        </is>
      </c>
      <c r="I6" s="8">
        <f>C6*D6*E6/8/1024</f>
        <v/>
      </c>
      <c r="J6" s="2" t="inlineStr">
        <is>
          <t>CHNLNKDL.TIM</t>
        </is>
      </c>
    </row>
    <row r="7">
      <c r="A7" s="2" t="inlineStr">
        <is>
          <t>cncrte</t>
        </is>
      </c>
      <c r="B7" s="2" t="inlineStr">
        <is>
          <t>textures/</t>
        </is>
      </c>
      <c r="C7" s="2" t="n">
        <v>128</v>
      </c>
      <c r="D7" s="2" t="n">
        <v>128</v>
      </c>
      <c r="E7" s="2" t="n">
        <v>4</v>
      </c>
      <c r="F7" s="2" t="n">
        <v>16</v>
      </c>
      <c r="G7" s="2" t="n">
        <v>11</v>
      </c>
      <c r="H7" s="2" t="inlineStr">
        <is>
          <t>No</t>
        </is>
      </c>
      <c r="I7" s="8">
        <f>C7*D7*E7/8/1024</f>
        <v/>
      </c>
      <c r="J7" s="2" t="inlineStr">
        <is>
          <t>CNCRTE.TIM</t>
        </is>
      </c>
    </row>
    <row r="8">
      <c r="A8" s="2" t="inlineStr">
        <is>
          <t>cobblestones</t>
        </is>
      </c>
      <c r="B8" s="2" t="inlineStr">
        <is>
          <t>textures/</t>
        </is>
      </c>
      <c r="C8" s="2" t="n">
        <v>128</v>
      </c>
      <c r="D8" s="2" t="n">
        <v>128</v>
      </c>
      <c r="E8" s="2" t="n">
        <v>4</v>
      </c>
      <c r="F8" s="2" t="n">
        <v>16</v>
      </c>
      <c r="G8" s="2" t="n">
        <v>14</v>
      </c>
      <c r="H8" s="2" t="inlineStr">
        <is>
          <t>No</t>
        </is>
      </c>
      <c r="I8" s="8">
        <f>C8*D8*E8/8/1024</f>
        <v/>
      </c>
      <c r="J8" s="2" t="inlineStr">
        <is>
          <t>COBBLE.TIM</t>
        </is>
      </c>
    </row>
    <row r="9">
      <c r="A9" s="2" t="inlineStr">
        <is>
          <t>con_tile</t>
        </is>
      </c>
      <c r="B9" s="2" t="inlineStr">
        <is>
          <t>textures/</t>
        </is>
      </c>
      <c r="C9" s="2" t="n">
        <v>128</v>
      </c>
      <c r="D9" s="2" t="n">
        <v>128</v>
      </c>
      <c r="E9" s="2" t="n">
        <v>4</v>
      </c>
      <c r="F9" s="2" t="n">
        <v>16</v>
      </c>
      <c r="G9" s="2" t="n">
        <v>7</v>
      </c>
      <c r="H9" s="2" t="inlineStr">
        <is>
          <t>No</t>
        </is>
      </c>
      <c r="I9" s="8">
        <f>C9*D9*E9/8/1024</f>
        <v/>
      </c>
      <c r="J9" s="2" t="inlineStr">
        <is>
          <t>CONTILE.TIM</t>
        </is>
      </c>
    </row>
    <row r="10">
      <c r="A10" s="2" t="inlineStr">
        <is>
          <t>din_cl</t>
        </is>
      </c>
      <c r="B10" s="2" t="inlineStr">
        <is>
          <t>textures/</t>
        </is>
      </c>
      <c r="C10" s="2" t="n">
        <v>128</v>
      </c>
      <c r="D10" s="2" t="n">
        <v>128</v>
      </c>
      <c r="E10" s="2" t="n">
        <v>4</v>
      </c>
      <c r="F10" s="2" t="n">
        <v>16</v>
      </c>
      <c r="G10" s="2" t="n">
        <v>12</v>
      </c>
      <c r="H10" s="2" t="inlineStr">
        <is>
          <t>No</t>
        </is>
      </c>
      <c r="I10" s="8">
        <f>C10*D10*E10/8/1024</f>
        <v/>
      </c>
      <c r="J10" s="2" t="inlineStr">
        <is>
          <t>DINCL.TIM</t>
        </is>
      </c>
    </row>
    <row r="11">
      <c r="A11" s="2" t="inlineStr">
        <is>
          <t>gaol_mud</t>
        </is>
      </c>
      <c r="B11" s="2" t="inlineStr">
        <is>
          <t>textures/catacombs/</t>
        </is>
      </c>
      <c r="C11" s="2" t="n">
        <v>128</v>
      </c>
      <c r="D11" s="2" t="n">
        <v>128</v>
      </c>
      <c r="E11" s="2" t="n">
        <v>4</v>
      </c>
      <c r="F11" s="2" t="n">
        <v>16</v>
      </c>
      <c r="G11" s="2" t="n">
        <v>7</v>
      </c>
      <c r="H11" s="2" t="inlineStr">
        <is>
          <t>No</t>
        </is>
      </c>
      <c r="I11" s="8">
        <f>C11*D11*E11/8/1024</f>
        <v/>
      </c>
      <c r="J11" s="2" t="inlineStr">
        <is>
          <t>GAOLMUD.TIM</t>
        </is>
      </c>
    </row>
    <row r="12">
      <c r="A12" s="2" t="inlineStr">
        <is>
          <t>gravel_gs</t>
        </is>
      </c>
      <c r="B12" s="2" t="inlineStr">
        <is>
          <t>textures/</t>
        </is>
      </c>
      <c r="C12" s="2" t="n">
        <v>128</v>
      </c>
      <c r="D12" s="2" t="n">
        <v>128</v>
      </c>
      <c r="E12" s="2" t="n">
        <v>4</v>
      </c>
      <c r="F12" s="2" t="n">
        <v>16</v>
      </c>
      <c r="G12" s="2" t="n">
        <v>16</v>
      </c>
      <c r="H12" s="2" t="inlineStr">
        <is>
          <t>No</t>
        </is>
      </c>
      <c r="I12" s="8">
        <f>C12*D12*E12/8/1024</f>
        <v/>
      </c>
      <c r="J12" s="2" t="inlineStr">
        <is>
          <t>GRAVELGS.TIM</t>
        </is>
      </c>
    </row>
    <row r="13">
      <c r="A13" s="2" t="inlineStr">
        <is>
          <t>gravel_texture</t>
        </is>
      </c>
      <c r="B13" s="2" t="inlineStr">
        <is>
          <t>textures/</t>
        </is>
      </c>
      <c r="C13" s="2" t="n">
        <v>128</v>
      </c>
      <c r="D13" s="2" t="n">
        <v>128</v>
      </c>
      <c r="E13" s="2" t="n">
        <v>4</v>
      </c>
      <c r="F13" s="2" t="n">
        <v>16</v>
      </c>
      <c r="G13" s="2" t="n">
        <v>16</v>
      </c>
      <c r="H13" s="2" t="inlineStr">
        <is>
          <t>No</t>
        </is>
      </c>
      <c r="I13" s="8">
        <f>C13*D13*E13/8/1024</f>
        <v/>
      </c>
      <c r="J13" s="2" t="inlineStr">
        <is>
          <t>GRAVEL.TIM</t>
        </is>
      </c>
    </row>
    <row r="14">
      <c r="A14" s="2" t="inlineStr">
        <is>
          <t>greenhouse</t>
        </is>
      </c>
      <c r="B14" s="2" t="inlineStr">
        <is>
          <t>textures/</t>
        </is>
      </c>
      <c r="C14" s="2" t="n">
        <v>128</v>
      </c>
      <c r="D14" s="2" t="n">
        <v>128</v>
      </c>
      <c r="E14" s="2" t="n">
        <v>4</v>
      </c>
      <c r="F14" s="2" t="n">
        <v>16</v>
      </c>
      <c r="G14" s="2" t="n">
        <v>16</v>
      </c>
      <c r="H14" s="2" t="inlineStr">
        <is>
          <t>No</t>
        </is>
      </c>
      <c r="I14" s="8">
        <f>C14*D14*E14/8/1024</f>
        <v/>
      </c>
      <c r="J14" s="2" t="inlineStr">
        <is>
          <t>GRNHOUSE.TIM</t>
        </is>
      </c>
    </row>
    <row r="15">
      <c r="A15" s="2" t="inlineStr">
        <is>
          <t>grss</t>
        </is>
      </c>
      <c r="B15" s="2" t="inlineStr">
        <is>
          <t>textures/</t>
        </is>
      </c>
      <c r="C15" s="2" t="n">
        <v>128</v>
      </c>
      <c r="D15" s="2" t="n">
        <v>128</v>
      </c>
      <c r="E15" s="2" t="n">
        <v>4</v>
      </c>
      <c r="F15" s="2" t="n">
        <v>16</v>
      </c>
      <c r="G15" s="2" t="n">
        <v>14</v>
      </c>
      <c r="H15" s="2" t="inlineStr">
        <is>
          <t>No</t>
        </is>
      </c>
      <c r="I15" s="8">
        <f>C15*D15*E15/8/1024</f>
        <v/>
      </c>
      <c r="J15" s="2" t="inlineStr">
        <is>
          <t>GRSS.TIM</t>
        </is>
      </c>
    </row>
    <row r="16">
      <c r="A16" s="2" t="inlineStr">
        <is>
          <t>grss_gs</t>
        </is>
      </c>
      <c r="B16" s="2" t="inlineStr">
        <is>
          <t>textures/</t>
        </is>
      </c>
      <c r="C16" s="2" t="n">
        <v>128</v>
      </c>
      <c r="D16" s="2" t="n">
        <v>128</v>
      </c>
      <c r="E16" s="2" t="n">
        <v>4</v>
      </c>
      <c r="F16" s="2" t="n">
        <v>16</v>
      </c>
      <c r="G16" s="2" t="n">
        <v>14</v>
      </c>
      <c r="H16" s="2" t="inlineStr">
        <is>
          <t>No</t>
        </is>
      </c>
      <c r="I16" s="8">
        <f>C16*D16*E16/8/1024</f>
        <v/>
      </c>
      <c r="J16" s="2" t="inlineStr">
        <is>
          <t>GRSSGS.TIM</t>
        </is>
      </c>
    </row>
    <row r="17">
      <c r="A17" s="2" t="inlineStr">
        <is>
          <t>guts</t>
        </is>
      </c>
      <c r="B17" s="2" t="inlineStr">
        <is>
          <t>textures/</t>
        </is>
      </c>
      <c r="C17" s="2" t="n">
        <v>128</v>
      </c>
      <c r="D17" s="2" t="n">
        <v>128</v>
      </c>
      <c r="E17" s="2" t="n">
        <v>4</v>
      </c>
      <c r="F17" s="2" t="n">
        <v>16</v>
      </c>
      <c r="G17" s="2" t="n">
        <v>16</v>
      </c>
      <c r="H17" s="2" t="inlineStr">
        <is>
          <t>No</t>
        </is>
      </c>
      <c r="I17" s="8">
        <f>C17*D17*E17/8/1024</f>
        <v/>
      </c>
      <c r="J17" s="2" t="inlineStr">
        <is>
          <t>GUTS.TIM</t>
        </is>
      </c>
    </row>
    <row r="18">
      <c r="A18" s="2" t="inlineStr">
        <is>
          <t>heads</t>
        </is>
      </c>
      <c r="B18" s="2" t="inlineStr">
        <is>
          <t>textures/</t>
        </is>
      </c>
      <c r="C18" s="2" t="n">
        <v>128</v>
      </c>
      <c r="D18" s="2" t="n">
        <v>128</v>
      </c>
      <c r="E18" s="2" t="n">
        <v>4</v>
      </c>
      <c r="F18" s="2" t="n">
        <v>16</v>
      </c>
      <c r="G18" s="2" t="n">
        <v>16</v>
      </c>
      <c r="H18" s="2" t="inlineStr">
        <is>
          <t>No</t>
        </is>
      </c>
      <c r="I18" s="8">
        <f>C18*D18*E18/8/1024</f>
        <v/>
      </c>
      <c r="J18" s="2" t="inlineStr">
        <is>
          <t>HEADS.TIM</t>
        </is>
      </c>
    </row>
    <row r="19">
      <c r="A19" s="2" t="inlineStr">
        <is>
          <t>hedge</t>
        </is>
      </c>
      <c r="B19" s="2" t="inlineStr">
        <is>
          <t>textures/</t>
        </is>
      </c>
      <c r="C19" s="2" t="n">
        <v>128</v>
      </c>
      <c r="D19" s="2" t="n">
        <v>128</v>
      </c>
      <c r="E19" s="2" t="n">
        <v>4</v>
      </c>
      <c r="F19" s="2" t="n">
        <v>16</v>
      </c>
      <c r="G19" s="2" t="n">
        <v>15</v>
      </c>
      <c r="H19" s="2" t="inlineStr">
        <is>
          <t>No</t>
        </is>
      </c>
      <c r="I19" s="8">
        <f>C19*D19*E19/8/1024</f>
        <v/>
      </c>
      <c r="J19" s="2" t="inlineStr">
        <is>
          <t>HEDGE.TIM</t>
        </is>
      </c>
    </row>
    <row r="20">
      <c r="A20" s="2" t="inlineStr">
        <is>
          <t>kchn_tile</t>
        </is>
      </c>
      <c r="B20" s="2" t="inlineStr">
        <is>
          <t>textures/</t>
        </is>
      </c>
      <c r="C20" s="2" t="n">
        <v>128</v>
      </c>
      <c r="D20" s="2" t="n">
        <v>128</v>
      </c>
      <c r="E20" s="2" t="n">
        <v>4</v>
      </c>
      <c r="F20" s="2" t="n">
        <v>16</v>
      </c>
      <c r="G20" s="2" t="n">
        <v>16</v>
      </c>
      <c r="H20" s="2" t="inlineStr">
        <is>
          <t>No</t>
        </is>
      </c>
      <c r="I20" s="8">
        <f>C20*D20*E20/8/1024</f>
        <v/>
      </c>
      <c r="J20" s="2" t="inlineStr">
        <is>
          <t>KCHNTILE.TIM</t>
        </is>
      </c>
    </row>
    <row r="21">
      <c r="A21" s="2" t="inlineStr">
        <is>
          <t>kchn_wl</t>
        </is>
      </c>
      <c r="B21" s="2" t="inlineStr">
        <is>
          <t>textures/</t>
        </is>
      </c>
      <c r="C21" s="2" t="n">
        <v>128</v>
      </c>
      <c r="D21" s="2" t="n">
        <v>128</v>
      </c>
      <c r="E21" s="2" t="n">
        <v>4</v>
      </c>
      <c r="F21" s="2" t="n">
        <v>16</v>
      </c>
      <c r="G21" s="2" t="n">
        <v>16</v>
      </c>
      <c r="H21" s="2" t="inlineStr">
        <is>
          <t>No</t>
        </is>
      </c>
      <c r="I21" s="8">
        <f>C21*D21*E21/8/1024</f>
        <v/>
      </c>
      <c r="J21" s="2" t="inlineStr">
        <is>
          <t>KCHNWL.TIM</t>
        </is>
      </c>
    </row>
    <row r="22">
      <c r="A22" s="2" t="inlineStr">
        <is>
          <t>legs</t>
        </is>
      </c>
      <c r="B22" s="2" t="inlineStr">
        <is>
          <t>textures/</t>
        </is>
      </c>
      <c r="C22" s="2" t="n">
        <v>128</v>
      </c>
      <c r="D22" s="2" t="n">
        <v>128</v>
      </c>
      <c r="E22" s="2" t="n">
        <v>4</v>
      </c>
      <c r="F22" s="2" t="n">
        <v>16</v>
      </c>
      <c r="G22" s="2" t="n">
        <v>16</v>
      </c>
      <c r="H22" s="2" t="inlineStr">
        <is>
          <t>No</t>
        </is>
      </c>
      <c r="I22" s="8">
        <f>C22*D22*E22/8/1024</f>
        <v/>
      </c>
      <c r="J22" s="2" t="inlineStr">
        <is>
          <t>LEGS.TIM</t>
        </is>
      </c>
    </row>
    <row r="23">
      <c r="A23" s="2" t="inlineStr">
        <is>
          <t>loculus</t>
        </is>
      </c>
      <c r="B23" s="2" t="inlineStr">
        <is>
          <t>textures/</t>
        </is>
      </c>
      <c r="C23" s="2" t="n">
        <v>128</v>
      </c>
      <c r="D23" s="2" t="n">
        <v>128</v>
      </c>
      <c r="E23" s="2" t="n">
        <v>4</v>
      </c>
      <c r="F23" s="2" t="n">
        <v>16</v>
      </c>
      <c r="G23" s="2" t="n">
        <v>16</v>
      </c>
      <c r="H23" s="2" t="inlineStr">
        <is>
          <t>No</t>
        </is>
      </c>
      <c r="I23" s="8">
        <f>C23*D23*E23/8/1024</f>
        <v/>
      </c>
      <c r="J23" s="2" t="inlineStr">
        <is>
          <t>LOCULUS.TIM</t>
        </is>
      </c>
    </row>
    <row r="24">
      <c r="A24" s="2" t="inlineStr">
        <is>
          <t>prpl_wlppr</t>
        </is>
      </c>
      <c r="B24" s="2" t="inlineStr">
        <is>
          <t>textures/</t>
        </is>
      </c>
      <c r="C24" s="2" t="n">
        <v>128</v>
      </c>
      <c r="D24" s="2" t="n">
        <v>128</v>
      </c>
      <c r="E24" s="2" t="n">
        <v>4</v>
      </c>
      <c r="F24" s="2" t="n">
        <v>16</v>
      </c>
      <c r="G24" s="2" t="n">
        <v>14</v>
      </c>
      <c r="H24" s="2" t="inlineStr">
        <is>
          <t>No</t>
        </is>
      </c>
      <c r="I24" s="8">
        <f>C24*D24*E24/8/1024</f>
        <v/>
      </c>
      <c r="J24" s="2" t="inlineStr">
        <is>
          <t>PRPLWLP.TIM</t>
        </is>
      </c>
    </row>
    <row r="25">
      <c r="A25" s="2" t="inlineStr">
        <is>
          <t>red_crpt</t>
        </is>
      </c>
      <c r="B25" s="2" t="inlineStr">
        <is>
          <t>textures/</t>
        </is>
      </c>
      <c r="C25" s="2" t="n">
        <v>128</v>
      </c>
      <c r="D25" s="2" t="n">
        <v>128</v>
      </c>
      <c r="E25" s="2" t="n">
        <v>4</v>
      </c>
      <c r="F25" s="2" t="n">
        <v>16</v>
      </c>
      <c r="G25" s="2" t="n">
        <v>15</v>
      </c>
      <c r="H25" s="2" t="inlineStr">
        <is>
          <t>No</t>
        </is>
      </c>
      <c r="I25" s="8">
        <f>C25*D25*E25/8/1024</f>
        <v/>
      </c>
      <c r="J25" s="2" t="inlineStr">
        <is>
          <t>REDCRPT.TIM</t>
        </is>
      </c>
    </row>
    <row r="26">
      <c r="A26" s="2" t="inlineStr">
        <is>
          <t>red_wlppr</t>
        </is>
      </c>
      <c r="B26" s="2" t="inlineStr">
        <is>
          <t>textures/</t>
        </is>
      </c>
      <c r="C26" s="2" t="n">
        <v>128</v>
      </c>
      <c r="D26" s="2" t="n">
        <v>128</v>
      </c>
      <c r="E26" s="2" t="n">
        <v>4</v>
      </c>
      <c r="F26" s="2" t="n">
        <v>16</v>
      </c>
      <c r="G26" s="2" t="n">
        <v>13</v>
      </c>
      <c r="H26" s="2" t="inlineStr">
        <is>
          <t>No</t>
        </is>
      </c>
      <c r="I26" s="8">
        <f>C26*D26*E26/8/1024</f>
        <v/>
      </c>
      <c r="J26" s="2" t="inlineStr">
        <is>
          <t>REDWLPPR.TIM</t>
        </is>
      </c>
    </row>
    <row r="27">
      <c r="A27" s="2" t="inlineStr">
        <is>
          <t>rusty</t>
        </is>
      </c>
      <c r="B27" s="2" t="inlineStr">
        <is>
          <t>textures/</t>
        </is>
      </c>
      <c r="C27" s="2" t="n">
        <v>128</v>
      </c>
      <c r="D27" s="2" t="n">
        <v>128</v>
      </c>
      <c r="E27" s="2" t="n">
        <v>4</v>
      </c>
      <c r="F27" s="2" t="n">
        <v>16</v>
      </c>
      <c r="G27" s="2" t="n">
        <v>16</v>
      </c>
      <c r="H27" s="2" t="inlineStr">
        <is>
          <t>No</t>
        </is>
      </c>
      <c r="I27" s="8">
        <f>C27*D27*E27/8/1024</f>
        <v/>
      </c>
      <c r="J27" s="2" t="inlineStr">
        <is>
          <t>RUSTY.TIM</t>
        </is>
      </c>
    </row>
    <row r="28">
      <c r="A28" s="2" t="inlineStr">
        <is>
          <t>rusty_fence</t>
        </is>
      </c>
      <c r="B28" s="2" t="inlineStr">
        <is>
          <t>textures/</t>
        </is>
      </c>
      <c r="C28" s="2" t="n">
        <v>128</v>
      </c>
      <c r="D28" s="2" t="n">
        <v>128</v>
      </c>
      <c r="E28" s="2" t="n">
        <v>4</v>
      </c>
      <c r="F28" s="2" t="n">
        <v>16</v>
      </c>
      <c r="G28" s="2" t="n">
        <v>16</v>
      </c>
      <c r="H28" s="2" t="inlineStr">
        <is>
          <t>No</t>
        </is>
      </c>
      <c r="I28" s="8">
        <f>C28*D28*E28/8/1024</f>
        <v/>
      </c>
      <c r="J28" s="2" t="inlineStr">
        <is>
          <t>FENCE.TIM</t>
        </is>
      </c>
    </row>
    <row r="29">
      <c r="A29" s="2" t="inlineStr">
        <is>
          <t>seal</t>
        </is>
      </c>
      <c r="B29" s="2" t="inlineStr">
        <is>
          <t>textures/</t>
        </is>
      </c>
      <c r="C29" s="2" t="n">
        <v>128</v>
      </c>
      <c r="D29" s="2" t="n">
        <v>128</v>
      </c>
      <c r="E29" s="2" t="n">
        <v>4</v>
      </c>
      <c r="F29" s="2" t="n">
        <v>16</v>
      </c>
      <c r="G29" s="2" t="n">
        <v>8</v>
      </c>
      <c r="H29" s="2" t="inlineStr">
        <is>
          <t>Yes</t>
        </is>
      </c>
      <c r="I29" s="8">
        <f>C29*D29*E29/8/1024</f>
        <v/>
      </c>
      <c r="J29" s="2" t="inlineStr">
        <is>
          <t>SEAL.TIM</t>
        </is>
      </c>
    </row>
    <row r="30">
      <c r="A30" s="2" t="inlineStr">
        <is>
          <t>stables wood</t>
        </is>
      </c>
      <c r="B30" s="2" t="inlineStr">
        <is>
          <t>textures/</t>
        </is>
      </c>
      <c r="C30" s="2" t="n">
        <v>128</v>
      </c>
      <c r="D30" s="2" t="n">
        <v>128</v>
      </c>
      <c r="E30" s="2" t="n">
        <v>4</v>
      </c>
      <c r="F30" s="2" t="n">
        <v>16</v>
      </c>
      <c r="G30" s="2" t="n">
        <v>16</v>
      </c>
      <c r="H30" s="2" t="inlineStr">
        <is>
          <t>No</t>
        </is>
      </c>
      <c r="I30" s="8">
        <f>C30*D30*E30/8/1024</f>
        <v/>
      </c>
      <c r="J30" s="2" t="inlineStr">
        <is>
          <t>STBLWOOD.TIM</t>
        </is>
      </c>
    </row>
    <row r="31">
      <c r="A31" s="2" t="inlineStr">
        <is>
          <t>stn_gls</t>
        </is>
      </c>
      <c r="B31" s="2" t="inlineStr">
        <is>
          <t>textures/</t>
        </is>
      </c>
      <c r="C31" s="2" t="n">
        <v>128</v>
      </c>
      <c r="D31" s="2" t="n">
        <v>128</v>
      </c>
      <c r="E31" s="2" t="n">
        <v>4</v>
      </c>
      <c r="F31" s="2" t="n">
        <v>16</v>
      </c>
      <c r="G31" s="2" t="n">
        <v>16</v>
      </c>
      <c r="H31" s="2" t="inlineStr">
        <is>
          <t>No</t>
        </is>
      </c>
      <c r="I31" s="8">
        <f>C31*D31*E31/8/1024</f>
        <v/>
      </c>
      <c r="J31" s="2" t="inlineStr">
        <is>
          <t>STNGLS.TIM</t>
        </is>
      </c>
    </row>
    <row r="32">
      <c r="A32" s="2" t="inlineStr">
        <is>
          <t>stn_stl</t>
        </is>
      </c>
      <c r="B32" s="2" t="inlineStr">
        <is>
          <t>textures/</t>
        </is>
      </c>
      <c r="C32" s="2" t="n">
        <v>128</v>
      </c>
      <c r="D32" s="2" t="n">
        <v>128</v>
      </c>
      <c r="E32" s="2" t="n">
        <v>4</v>
      </c>
      <c r="F32" s="2" t="n">
        <v>16</v>
      </c>
      <c r="G32" s="2" t="n">
        <v>9</v>
      </c>
      <c r="H32" s="2" t="inlineStr">
        <is>
          <t>No</t>
        </is>
      </c>
      <c r="I32" s="8">
        <f>C32*D32*E32/8/1024</f>
        <v/>
      </c>
      <c r="J32" s="2" t="inlineStr">
        <is>
          <t>STNSTL.TIM</t>
        </is>
      </c>
    </row>
    <row r="33">
      <c r="A33" s="2" t="inlineStr">
        <is>
          <t>strs</t>
        </is>
      </c>
      <c r="B33" s="2" t="inlineStr">
        <is>
          <t>textures/</t>
        </is>
      </c>
      <c r="C33" s="2" t="n">
        <v>128</v>
      </c>
      <c r="D33" s="2" t="n">
        <v>128</v>
      </c>
      <c r="E33" s="2" t="n">
        <v>4</v>
      </c>
      <c r="F33" s="2" t="n">
        <v>16</v>
      </c>
      <c r="G33" s="2" t="n">
        <v>16</v>
      </c>
      <c r="H33" s="2" t="inlineStr">
        <is>
          <t>No</t>
        </is>
      </c>
      <c r="I33" s="8">
        <f>C33*D33*E33/8/1024</f>
        <v/>
      </c>
      <c r="J33" s="2" t="inlineStr">
        <is>
          <t>STRS.TIM</t>
        </is>
      </c>
    </row>
    <row r="34">
      <c r="A34" s="2" t="inlineStr">
        <is>
          <t>torsos</t>
        </is>
      </c>
      <c r="B34" s="2" t="inlineStr">
        <is>
          <t>textures/</t>
        </is>
      </c>
      <c r="C34" s="2" t="n">
        <v>128</v>
      </c>
      <c r="D34" s="2" t="n">
        <v>128</v>
      </c>
      <c r="E34" s="2" t="n">
        <v>4</v>
      </c>
      <c r="F34" s="2" t="n">
        <v>16</v>
      </c>
      <c r="G34" s="2" t="n">
        <v>14</v>
      </c>
      <c r="H34" s="2" t="inlineStr">
        <is>
          <t>No</t>
        </is>
      </c>
      <c r="I34" s="8">
        <f>C34*D34*E34/8/1024</f>
        <v/>
      </c>
      <c r="J34" s="2" t="inlineStr">
        <is>
          <t>TORSOS.TIM</t>
        </is>
      </c>
    </row>
    <row r="35">
      <c r="A35" s="2" t="inlineStr">
        <is>
          <t>trees</t>
        </is>
      </c>
      <c r="B35" s="2" t="inlineStr">
        <is>
          <t>textures/</t>
        </is>
      </c>
      <c r="C35" s="2" t="n">
        <v>128</v>
      </c>
      <c r="D35" s="2" t="n">
        <v>128</v>
      </c>
      <c r="E35" s="2" t="n">
        <v>4</v>
      </c>
      <c r="F35" s="2" t="n">
        <v>16</v>
      </c>
      <c r="G35" s="2" t="n">
        <v>14</v>
      </c>
      <c r="H35" s="2" t="inlineStr">
        <is>
          <t>No</t>
        </is>
      </c>
      <c r="I35" s="8">
        <f>C35*D35*E35/8/1024</f>
        <v/>
      </c>
      <c r="J35" s="2" t="inlineStr">
        <is>
          <t>TREES.TIM</t>
        </is>
      </c>
    </row>
    <row r="36">
      <c r="A36" s="2" t="inlineStr">
        <is>
          <t>trees_dl</t>
        </is>
      </c>
      <c r="B36" s="2" t="inlineStr">
        <is>
          <t>textures/</t>
        </is>
      </c>
      <c r="C36" s="2" t="n">
        <v>128</v>
      </c>
      <c r="D36" s="2" t="n">
        <v>128</v>
      </c>
      <c r="E36" s="2" t="n">
        <v>4</v>
      </c>
      <c r="F36" s="2" t="n">
        <v>16</v>
      </c>
      <c r="G36" s="2" t="n">
        <v>14</v>
      </c>
      <c r="H36" s="2" t="inlineStr">
        <is>
          <t>No</t>
        </is>
      </c>
      <c r="I36" s="8">
        <f>C36*D36*E36/8/1024</f>
        <v/>
      </c>
      <c r="J36" s="2" t="inlineStr">
        <is>
          <t>TREESDL.TIM</t>
        </is>
      </c>
    </row>
    <row r="37">
      <c r="A37" s="2" t="inlineStr">
        <is>
          <t>upstairs</t>
        </is>
      </c>
      <c r="B37" s="2" t="inlineStr">
        <is>
          <t>textures/</t>
        </is>
      </c>
      <c r="C37" s="2" t="n">
        <v>128</v>
      </c>
      <c r="D37" s="2" t="n">
        <v>128</v>
      </c>
      <c r="E37" s="2" t="n">
        <v>4</v>
      </c>
      <c r="F37" s="2" t="n">
        <v>16</v>
      </c>
      <c r="G37" s="2" t="n">
        <v>13</v>
      </c>
      <c r="H37" s="2" t="inlineStr">
        <is>
          <t>No</t>
        </is>
      </c>
      <c r="I37" s="8">
        <f>C37*D37*E37/8/1024</f>
        <v/>
      </c>
      <c r="J37" s="2" t="inlineStr">
        <is>
          <t>UPSTAIRS.TIM</t>
        </is>
      </c>
    </row>
    <row r="38">
      <c r="A38" s="2" t="inlineStr">
        <is>
          <t>wd_flr</t>
        </is>
      </c>
      <c r="B38" s="2" t="inlineStr">
        <is>
          <t>textures/</t>
        </is>
      </c>
      <c r="C38" s="2" t="n">
        <v>128</v>
      </c>
      <c r="D38" s="2" t="n">
        <v>128</v>
      </c>
      <c r="E38" s="2" t="n">
        <v>4</v>
      </c>
      <c r="F38" s="2" t="n">
        <v>16</v>
      </c>
      <c r="G38" s="2" t="n">
        <v>14</v>
      </c>
      <c r="H38" s="2" t="inlineStr">
        <is>
          <t>No</t>
        </is>
      </c>
      <c r="I38" s="8">
        <f>C38*D38*E38/8/1024</f>
        <v/>
      </c>
      <c r="J38" s="2" t="inlineStr">
        <is>
          <t>WDFLR.TIM</t>
        </is>
      </c>
    </row>
    <row r="40">
      <c r="A40" s="6" t="inlineStr">
        <is>
          <t>Walls, floors, ceilings, stairs and outdoor surfaces, including the Chapter 3 body-part rooms (arms2, heads, legs, torsos, bones, guts) and the Seal room.</t>
        </is>
      </c>
    </row>
  </sheetData>
  <autoFilter ref="A1:J38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0" customWidth="1" min="5" max="5"/>
    <col width="13" customWidth="1" min="6" max="6"/>
    <col width="13" customWidth="1" min="7" max="7"/>
    <col width="12" customWidth="1" min="8" max="8"/>
    <col width="11" customWidth="1" min="9" max="9"/>
    <col width="24" customWidth="1" min="10" max="10"/>
  </cols>
  <sheetData>
    <row r="1">
      <c r="A1" s="7" t="inlineStr">
        <is>
          <t>Texture</t>
        </is>
      </c>
      <c r="B1" s="7" t="inlineStr">
        <is>
          <t>Folder</t>
        </is>
      </c>
      <c r="C1" s="7" t="inlineStr">
        <is>
          <t>Width (px)</t>
        </is>
      </c>
      <c r="D1" s="7" t="inlineStr">
        <is>
          <t>Height (px)</t>
        </is>
      </c>
      <c r="E1" s="7" t="inlineStr">
        <is>
          <t>Bit depth</t>
        </is>
      </c>
      <c r="F1" s="7" t="inlineStr">
        <is>
          <t>Palette slots</t>
        </is>
      </c>
      <c r="G1" s="7" t="inlineStr">
        <is>
          <t>Colours used</t>
        </is>
      </c>
      <c r="H1" s="7" t="inlineStr">
        <is>
          <t>Transparent</t>
        </is>
      </c>
      <c r="I1" s="7" t="inlineStr">
        <is>
          <t>VRAM (KB)</t>
        </is>
      </c>
      <c r="J1" s="7" t="inlineStr">
        <is>
          <t>Disc file</t>
        </is>
      </c>
    </row>
    <row r="2">
      <c r="A2" s="2" t="inlineStr">
        <is>
          <t>catacomb inner door</t>
        </is>
      </c>
      <c r="B2" s="2" t="inlineStr">
        <is>
          <t>textures/</t>
        </is>
      </c>
      <c r="C2" s="2" t="n">
        <v>128</v>
      </c>
      <c r="D2" s="2" t="n">
        <v>128</v>
      </c>
      <c r="E2" s="2" t="n">
        <v>4</v>
      </c>
      <c r="F2" s="2" t="n">
        <v>16</v>
      </c>
      <c r="G2" s="2" t="n">
        <v>16</v>
      </c>
      <c r="H2" s="2" t="inlineStr">
        <is>
          <t>No</t>
        </is>
      </c>
      <c r="I2" s="8">
        <f>C2*D2*E2/8/1024</f>
        <v/>
      </c>
      <c r="J2" s="2" t="inlineStr">
        <is>
          <t>CTCMBDR.TIM</t>
        </is>
      </c>
    </row>
    <row r="3">
      <c r="A3" s="2" t="inlineStr">
        <is>
          <t>dbl_dr_rg</t>
        </is>
      </c>
      <c r="B3" s="2" t="inlineStr">
        <is>
          <t>textures/</t>
        </is>
      </c>
      <c r="C3" s="2" t="n">
        <v>128</v>
      </c>
      <c r="D3" s="2" t="n">
        <v>128</v>
      </c>
      <c r="E3" s="2" t="n">
        <v>4</v>
      </c>
      <c r="F3" s="2" t="n">
        <v>16</v>
      </c>
      <c r="G3" s="2" t="n">
        <v>16</v>
      </c>
      <c r="H3" s="2" t="inlineStr">
        <is>
          <t>No</t>
        </is>
      </c>
      <c r="I3" s="8">
        <f>C3*D3*E3/8/1024</f>
        <v/>
      </c>
      <c r="J3" s="2" t="inlineStr">
        <is>
          <t>DBLDRRG.TIM</t>
        </is>
      </c>
    </row>
    <row r="4">
      <c r="A4" s="2" t="inlineStr">
        <is>
          <t>double_door</t>
        </is>
      </c>
      <c r="B4" s="2" t="inlineStr">
        <is>
          <t>textures/</t>
        </is>
      </c>
      <c r="C4" s="2" t="n">
        <v>128</v>
      </c>
      <c r="D4" s="2" t="n">
        <v>128</v>
      </c>
      <c r="E4" s="2" t="n">
        <v>4</v>
      </c>
      <c r="F4" s="2" t="n">
        <v>16</v>
      </c>
      <c r="G4" s="2" t="n">
        <v>16</v>
      </c>
      <c r="H4" s="2" t="inlineStr">
        <is>
          <t>No</t>
        </is>
      </c>
      <c r="I4" s="8">
        <f>C4*D4*E4/8/1024</f>
        <v/>
      </c>
      <c r="J4" s="2" t="inlineStr">
        <is>
          <t>DBLDOOR.TIM</t>
        </is>
      </c>
    </row>
    <row r="5">
      <c r="A5" s="2" t="inlineStr">
        <is>
          <t>frnt_dr</t>
        </is>
      </c>
      <c r="B5" s="2" t="inlineStr">
        <is>
          <t>textures/</t>
        </is>
      </c>
      <c r="C5" s="2" t="n">
        <v>128</v>
      </c>
      <c r="D5" s="2" t="n">
        <v>128</v>
      </c>
      <c r="E5" s="2" t="n">
        <v>4</v>
      </c>
      <c r="F5" s="2" t="n">
        <v>16</v>
      </c>
      <c r="G5" s="2" t="n">
        <v>16</v>
      </c>
      <c r="H5" s="2" t="inlineStr">
        <is>
          <t>No</t>
        </is>
      </c>
      <c r="I5" s="8">
        <f>C5*D5*E5/8/1024</f>
        <v/>
      </c>
      <c r="J5" s="2" t="inlineStr">
        <is>
          <t>FRNTDR.TIM</t>
        </is>
      </c>
    </row>
    <row r="6">
      <c r="A6" s="2" t="inlineStr">
        <is>
          <t>gaol door</t>
        </is>
      </c>
      <c r="B6" s="2" t="inlineStr">
        <is>
          <t>textures/</t>
        </is>
      </c>
      <c r="C6" s="2" t="n">
        <v>128</v>
      </c>
      <c r="D6" s="2" t="n">
        <v>128</v>
      </c>
      <c r="E6" s="2" t="n">
        <v>4</v>
      </c>
      <c r="F6" s="2" t="n">
        <v>16</v>
      </c>
      <c r="G6" s="2" t="n">
        <v>14</v>
      </c>
      <c r="H6" s="2" t="inlineStr">
        <is>
          <t>Yes</t>
        </is>
      </c>
      <c r="I6" s="8">
        <f>C6*D6*E6/8/1024</f>
        <v/>
      </c>
      <c r="J6" s="2" t="inlineStr">
        <is>
          <t>GAOLDOOR.TIM</t>
        </is>
      </c>
    </row>
    <row r="7">
      <c r="A7" s="2" t="inlineStr">
        <is>
          <t>grdn_gte</t>
        </is>
      </c>
      <c r="B7" s="2" t="inlineStr">
        <is>
          <t>textures/</t>
        </is>
      </c>
      <c r="C7" s="2" t="n">
        <v>128</v>
      </c>
      <c r="D7" s="2" t="n">
        <v>128</v>
      </c>
      <c r="E7" s="2" t="n">
        <v>4</v>
      </c>
      <c r="F7" s="2" t="n">
        <v>16</v>
      </c>
      <c r="G7" s="2" t="n">
        <v>6</v>
      </c>
      <c r="H7" s="2" t="inlineStr">
        <is>
          <t>Yes</t>
        </is>
      </c>
      <c r="I7" s="8">
        <f>C7*D7*E7/8/1024</f>
        <v/>
      </c>
      <c r="J7" s="2" t="inlineStr">
        <is>
          <t>GRDNGTE.TIM</t>
        </is>
      </c>
    </row>
    <row r="8">
      <c r="A8" s="2" t="inlineStr">
        <is>
          <t>greenhouse door</t>
        </is>
      </c>
      <c r="B8" s="2" t="inlineStr">
        <is>
          <t>textures/</t>
        </is>
      </c>
      <c r="C8" s="2" t="n">
        <v>64</v>
      </c>
      <c r="D8" s="2" t="n">
        <v>64</v>
      </c>
      <c r="E8" s="2" t="n">
        <v>4</v>
      </c>
      <c r="F8" s="2" t="n">
        <v>16</v>
      </c>
      <c r="G8" s="2" t="n">
        <v>15</v>
      </c>
      <c r="H8" s="2" t="inlineStr">
        <is>
          <t>No</t>
        </is>
      </c>
      <c r="I8" s="8">
        <f>C8*D8*E8/8/1024</f>
        <v/>
      </c>
      <c r="J8" s="2" t="inlineStr">
        <is>
          <t>GRNHSDR.TIM</t>
        </is>
      </c>
    </row>
    <row r="9">
      <c r="A9" s="2" t="inlineStr">
        <is>
          <t>hatch</t>
        </is>
      </c>
      <c r="B9" s="2" t="inlineStr">
        <is>
          <t>textures/</t>
        </is>
      </c>
      <c r="C9" s="2" t="n">
        <v>128</v>
      </c>
      <c r="D9" s="2" t="n">
        <v>128</v>
      </c>
      <c r="E9" s="2" t="n">
        <v>4</v>
      </c>
      <c r="F9" s="2" t="n">
        <v>16</v>
      </c>
      <c r="G9" s="2" t="n">
        <v>12</v>
      </c>
      <c r="H9" s="2" t="inlineStr">
        <is>
          <t>Yes</t>
        </is>
      </c>
      <c r="I9" s="8">
        <f>C9*D9*E9/8/1024</f>
        <v/>
      </c>
      <c r="J9" s="2" t="inlineStr">
        <is>
          <t>HATCH.TIM</t>
        </is>
      </c>
    </row>
    <row r="10">
      <c r="A10" s="2" t="inlineStr">
        <is>
          <t>inr_dbl_dr</t>
        </is>
      </c>
      <c r="B10" s="2" t="inlineStr">
        <is>
          <t>textures/</t>
        </is>
      </c>
      <c r="C10" s="2" t="n">
        <v>128</v>
      </c>
      <c r="D10" s="2" t="n">
        <v>128</v>
      </c>
      <c r="E10" s="2" t="n">
        <v>4</v>
      </c>
      <c r="F10" s="2" t="n">
        <v>16</v>
      </c>
      <c r="G10" s="2" t="n">
        <v>16</v>
      </c>
      <c r="H10" s="2" t="inlineStr">
        <is>
          <t>No</t>
        </is>
      </c>
      <c r="I10" s="8">
        <f>C10*D10*E10/8/1024</f>
        <v/>
      </c>
      <c r="J10" s="2" t="inlineStr">
        <is>
          <t>INRDBLDR.TIM</t>
        </is>
      </c>
    </row>
    <row r="11">
      <c r="A11" s="2" t="inlineStr">
        <is>
          <t>wd_dr</t>
        </is>
      </c>
      <c r="B11" s="2" t="inlineStr">
        <is>
          <t>textures/</t>
        </is>
      </c>
      <c r="C11" s="2" t="n">
        <v>128</v>
      </c>
      <c r="D11" s="2" t="n">
        <v>128</v>
      </c>
      <c r="E11" s="2" t="n">
        <v>4</v>
      </c>
      <c r="F11" s="2" t="n">
        <v>16</v>
      </c>
      <c r="G11" s="2" t="n">
        <v>16</v>
      </c>
      <c r="H11" s="2" t="inlineStr">
        <is>
          <t>No</t>
        </is>
      </c>
      <c r="I11" s="8">
        <f>C11*D11*E11/8/1024</f>
        <v/>
      </c>
      <c r="J11" s="2" t="inlineStr">
        <is>
          <t>WDDR.TIM</t>
        </is>
      </c>
    </row>
    <row r="12">
      <c r="A12" s="2" t="inlineStr">
        <is>
          <t>wd_dr_crk</t>
        </is>
      </c>
      <c r="B12" s="2" t="inlineStr">
        <is>
          <t>textures/</t>
        </is>
      </c>
      <c r="C12" s="2" t="n">
        <v>128</v>
      </c>
      <c r="D12" s="2" t="n">
        <v>128</v>
      </c>
      <c r="E12" s="2" t="n">
        <v>4</v>
      </c>
      <c r="F12" s="2" t="n">
        <v>16</v>
      </c>
      <c r="G12" s="2" t="n">
        <v>16</v>
      </c>
      <c r="H12" s="2" t="inlineStr">
        <is>
          <t>No</t>
        </is>
      </c>
      <c r="I12" s="8">
        <f>C12*D12*E12/8/1024</f>
        <v/>
      </c>
      <c r="J12" s="2" t="inlineStr">
        <is>
          <t>WDDRCRK.TIM</t>
        </is>
      </c>
    </row>
    <row r="13">
      <c r="A13" s="2" t="inlineStr">
        <is>
          <t>xt_dr_cg</t>
        </is>
      </c>
      <c r="B13" s="2" t="inlineStr">
        <is>
          <t>textures/</t>
        </is>
      </c>
      <c r="C13" s="2" t="n">
        <v>128</v>
      </c>
      <c r="D13" s="2" t="n">
        <v>128</v>
      </c>
      <c r="E13" s="2" t="n">
        <v>8</v>
      </c>
      <c r="F13" s="2" t="n">
        <v>256</v>
      </c>
      <c r="G13" s="2" t="n">
        <v>168</v>
      </c>
      <c r="H13" s="2" t="inlineStr">
        <is>
          <t>Yes</t>
        </is>
      </c>
      <c r="I13" s="8">
        <f>C13*D13*E13/8/1024</f>
        <v/>
      </c>
      <c r="J13" s="2" t="inlineStr">
        <is>
          <t>XTDRCG.TIM</t>
        </is>
      </c>
    </row>
    <row r="14">
      <c r="A14" s="2" t="inlineStr">
        <is>
          <t>xt_dr_cmplt</t>
        </is>
      </c>
      <c r="B14" s="2" t="inlineStr">
        <is>
          <t>textures/</t>
        </is>
      </c>
      <c r="C14" s="2" t="n">
        <v>128</v>
      </c>
      <c r="D14" s="2" t="n">
        <v>128</v>
      </c>
      <c r="E14" s="2" t="n">
        <v>8</v>
      </c>
      <c r="F14" s="2" t="n">
        <v>256</v>
      </c>
      <c r="G14" s="2" t="n">
        <v>178</v>
      </c>
      <c r="H14" s="2" t="inlineStr">
        <is>
          <t>No</t>
        </is>
      </c>
      <c r="I14" s="8">
        <f>C14*D14*E14/8/1024</f>
        <v/>
      </c>
      <c r="J14" s="2" t="inlineStr">
        <is>
          <t>XTDRCMPL.TIM</t>
        </is>
      </c>
    </row>
    <row r="15">
      <c r="A15" s="2" t="inlineStr">
        <is>
          <t>xt_dr_lckd</t>
        </is>
      </c>
      <c r="B15" s="2" t="inlineStr">
        <is>
          <t>textures/</t>
        </is>
      </c>
      <c r="C15" s="2" t="n">
        <v>128</v>
      </c>
      <c r="D15" s="2" t="n">
        <v>128</v>
      </c>
      <c r="E15" s="2" t="n">
        <v>8</v>
      </c>
      <c r="F15" s="2" t="n">
        <v>256</v>
      </c>
      <c r="G15" s="2" t="n">
        <v>172</v>
      </c>
      <c r="H15" s="2" t="inlineStr">
        <is>
          <t>No</t>
        </is>
      </c>
      <c r="I15" s="8">
        <f>C15*D15*E15/8/1024</f>
        <v/>
      </c>
      <c r="J15" s="2" t="inlineStr">
        <is>
          <t>XTDRLCKD.TIM</t>
        </is>
      </c>
    </row>
    <row r="16">
      <c r="A16" s="2" t="inlineStr">
        <is>
          <t>xt_dr_lft_hlf</t>
        </is>
      </c>
      <c r="B16" s="2" t="inlineStr">
        <is>
          <t>textures/</t>
        </is>
      </c>
      <c r="C16" s="2" t="n">
        <v>64</v>
      </c>
      <c r="D16" s="2" t="n">
        <v>128</v>
      </c>
      <c r="E16" s="2" t="n">
        <v>8</v>
      </c>
      <c r="F16" s="2" t="n">
        <v>256</v>
      </c>
      <c r="G16" s="2" t="n">
        <v>160</v>
      </c>
      <c r="H16" s="2" t="inlineStr">
        <is>
          <t>Yes</t>
        </is>
      </c>
      <c r="I16" s="8">
        <f>C16*D16*E16/8/1024</f>
        <v/>
      </c>
      <c r="J16" s="2" t="inlineStr">
        <is>
          <t>XTDRLHLF.TIM</t>
        </is>
      </c>
    </row>
    <row r="17">
      <c r="A17" s="2" t="inlineStr">
        <is>
          <t>xt_dr_outr</t>
        </is>
      </c>
      <c r="B17" s="2" t="inlineStr">
        <is>
          <t>textures/</t>
        </is>
      </c>
      <c r="C17" s="2" t="n">
        <v>128</v>
      </c>
      <c r="D17" s="2" t="n">
        <v>128</v>
      </c>
      <c r="E17" s="2" t="n">
        <v>8</v>
      </c>
      <c r="F17" s="2" t="n">
        <v>256</v>
      </c>
      <c r="G17" s="2" t="n">
        <v>173</v>
      </c>
      <c r="H17" s="2" t="inlineStr">
        <is>
          <t>No</t>
        </is>
      </c>
      <c r="I17" s="8">
        <f>C17*D17*E17/8/1024</f>
        <v/>
      </c>
      <c r="J17" s="2" t="inlineStr">
        <is>
          <t>XTDROUTR.TIM</t>
        </is>
      </c>
    </row>
    <row r="18">
      <c r="A18" s="2" t="inlineStr">
        <is>
          <t>xt_dr_rt_hlf</t>
        </is>
      </c>
      <c r="B18" s="2" t="inlineStr">
        <is>
          <t>textures/</t>
        </is>
      </c>
      <c r="C18" s="2" t="n">
        <v>64</v>
      </c>
      <c r="D18" s="2" t="n">
        <v>128</v>
      </c>
      <c r="E18" s="2" t="n">
        <v>8</v>
      </c>
      <c r="F18" s="2" t="n">
        <v>256</v>
      </c>
      <c r="G18" s="2" t="n">
        <v>133</v>
      </c>
      <c r="H18" s="2" t="inlineStr">
        <is>
          <t>Yes</t>
        </is>
      </c>
      <c r="I18" s="8">
        <f>C18*D18*E18/8/1024</f>
        <v/>
      </c>
      <c r="J18" s="2" t="inlineStr">
        <is>
          <t>XTDRRHLF.TIM</t>
        </is>
      </c>
    </row>
  </sheetData>
  <autoFilter ref="A1:J1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0" customWidth="1" min="5" max="5"/>
    <col width="13" customWidth="1" min="6" max="6"/>
    <col width="13" customWidth="1" min="7" max="7"/>
    <col width="12" customWidth="1" min="8" max="8"/>
    <col width="11" customWidth="1" min="9" max="9"/>
    <col width="24" customWidth="1" min="10" max="10"/>
  </cols>
  <sheetData>
    <row r="1">
      <c r="A1" s="7" t="inlineStr">
        <is>
          <t>Texture</t>
        </is>
      </c>
      <c r="B1" s="7" t="inlineStr">
        <is>
          <t>Folder</t>
        </is>
      </c>
      <c r="C1" s="7" t="inlineStr">
        <is>
          <t>Width (px)</t>
        </is>
      </c>
      <c r="D1" s="7" t="inlineStr">
        <is>
          <t>Height (px)</t>
        </is>
      </c>
      <c r="E1" s="7" t="inlineStr">
        <is>
          <t>Bit depth</t>
        </is>
      </c>
      <c r="F1" s="7" t="inlineStr">
        <is>
          <t>Palette slots</t>
        </is>
      </c>
      <c r="G1" s="7" t="inlineStr">
        <is>
          <t>Colours used</t>
        </is>
      </c>
      <c r="H1" s="7" t="inlineStr">
        <is>
          <t>Transparent</t>
        </is>
      </c>
      <c r="I1" s="7" t="inlineStr">
        <is>
          <t>VRAM (KB)</t>
        </is>
      </c>
      <c r="J1" s="7" t="inlineStr">
        <is>
          <t>Disc file</t>
        </is>
      </c>
    </row>
    <row r="2">
      <c r="A2" s="2" t="inlineStr">
        <is>
          <t>bars</t>
        </is>
      </c>
      <c r="B2" s="2" t="inlineStr">
        <is>
          <t>textures/</t>
        </is>
      </c>
      <c r="C2" s="2" t="n">
        <v>128</v>
      </c>
      <c r="D2" s="2" t="n">
        <v>128</v>
      </c>
      <c r="E2" s="2" t="n">
        <v>4</v>
      </c>
      <c r="F2" s="2" t="n">
        <v>16</v>
      </c>
      <c r="G2" s="2" t="n">
        <v>16</v>
      </c>
      <c r="H2" s="2" t="inlineStr">
        <is>
          <t>Yes</t>
        </is>
      </c>
      <c r="I2" s="8">
        <f>C2*D2*E2/8/1024</f>
        <v/>
      </c>
      <c r="J2" s="2" t="inlineStr">
        <is>
          <t>BARS.TIM</t>
        </is>
      </c>
    </row>
    <row r="3">
      <c r="A3" s="2" t="inlineStr">
        <is>
          <t>bed</t>
        </is>
      </c>
      <c r="B3" s="2" t="inlineStr">
        <is>
          <t>textures/</t>
        </is>
      </c>
      <c r="C3" s="2" t="n">
        <v>128</v>
      </c>
      <c r="D3" s="2" t="n">
        <v>128</v>
      </c>
      <c r="E3" s="2" t="n">
        <v>4</v>
      </c>
      <c r="F3" s="2" t="n">
        <v>16</v>
      </c>
      <c r="G3" s="2" t="n">
        <v>15</v>
      </c>
      <c r="H3" s="2" t="inlineStr">
        <is>
          <t>No</t>
        </is>
      </c>
      <c r="I3" s="8">
        <f>C3*D3*E3/8/1024</f>
        <v/>
      </c>
      <c r="J3" s="2" t="inlineStr">
        <is>
          <t>BED.TIM</t>
        </is>
      </c>
    </row>
    <row r="4">
      <c r="A4" s="2" t="inlineStr">
        <is>
          <t>bookshelf</t>
        </is>
      </c>
      <c r="B4" s="2" t="inlineStr">
        <is>
          <t>textures/</t>
        </is>
      </c>
      <c r="C4" s="2" t="n">
        <v>128</v>
      </c>
      <c r="D4" s="2" t="n">
        <v>128</v>
      </c>
      <c r="E4" s="2" t="n">
        <v>4</v>
      </c>
      <c r="F4" s="2" t="n">
        <v>16</v>
      </c>
      <c r="G4" s="2" t="n">
        <v>16</v>
      </c>
      <c r="H4" s="2" t="inlineStr">
        <is>
          <t>No</t>
        </is>
      </c>
      <c r="I4" s="8">
        <f>C4*D4*E4/8/1024</f>
        <v/>
      </c>
      <c r="J4" s="2" t="inlineStr">
        <is>
          <t>BOOKSHLF.TIM</t>
        </is>
      </c>
    </row>
    <row r="5">
      <c r="A5" s="2" t="inlineStr">
        <is>
          <t>chain</t>
        </is>
      </c>
      <c r="B5" s="2" t="inlineStr">
        <is>
          <t>textures/</t>
        </is>
      </c>
      <c r="C5" s="2" t="n">
        <v>128</v>
      </c>
      <c r="D5" s="2" t="n">
        <v>128</v>
      </c>
      <c r="E5" s="2" t="n">
        <v>4</v>
      </c>
      <c r="F5" s="2" t="n">
        <v>16</v>
      </c>
      <c r="G5" s="2" t="n">
        <v>15</v>
      </c>
      <c r="H5" s="2" t="inlineStr">
        <is>
          <t>Yes</t>
        </is>
      </c>
      <c r="I5" s="8">
        <f>C5*D5*E5/8/1024</f>
        <v/>
      </c>
      <c r="J5" s="2" t="inlineStr">
        <is>
          <t>CHAIN.TIM</t>
        </is>
      </c>
    </row>
    <row r="6">
      <c r="A6" s="2" t="inlineStr">
        <is>
          <t>clsd_drwr</t>
        </is>
      </c>
      <c r="B6" s="2" t="inlineStr">
        <is>
          <t>textures/</t>
        </is>
      </c>
      <c r="C6" s="2" t="n">
        <v>128</v>
      </c>
      <c r="D6" s="2" t="n">
        <v>128</v>
      </c>
      <c r="E6" s="2" t="n">
        <v>8</v>
      </c>
      <c r="F6" s="2" t="n">
        <v>256</v>
      </c>
      <c r="G6" s="2" t="n">
        <v>85</v>
      </c>
      <c r="H6" s="2" t="inlineStr">
        <is>
          <t>No</t>
        </is>
      </c>
      <c r="I6" s="8">
        <f>C6*D6*E6/8/1024</f>
        <v/>
      </c>
      <c r="J6" s="2" t="inlineStr">
        <is>
          <t>CLSDDRWR.TIM</t>
        </is>
      </c>
    </row>
    <row r="7">
      <c r="A7" s="2" t="inlineStr">
        <is>
          <t>crib</t>
        </is>
      </c>
      <c r="B7" s="2" t="inlineStr">
        <is>
          <t>textures/</t>
        </is>
      </c>
      <c r="C7" s="2" t="n">
        <v>128</v>
      </c>
      <c r="D7" s="2" t="n">
        <v>128</v>
      </c>
      <c r="E7" s="2" t="n">
        <v>4</v>
      </c>
      <c r="F7" s="2" t="n">
        <v>16</v>
      </c>
      <c r="G7" s="2" t="n">
        <v>16</v>
      </c>
      <c r="H7" s="2" t="inlineStr">
        <is>
          <t>No</t>
        </is>
      </c>
      <c r="I7" s="8">
        <f>C7*D7*E7/8/1024</f>
        <v/>
      </c>
      <c r="J7" s="2" t="inlineStr">
        <is>
          <t>CRIB.TIM</t>
        </is>
      </c>
    </row>
    <row r="8">
      <c r="A8" s="2" t="inlineStr">
        <is>
          <t>drain</t>
        </is>
      </c>
      <c r="B8" s="2" t="inlineStr">
        <is>
          <t>textures/</t>
        </is>
      </c>
      <c r="C8" s="2" t="n">
        <v>128</v>
      </c>
      <c r="D8" s="2" t="n">
        <v>128</v>
      </c>
      <c r="E8" s="2" t="n">
        <v>4</v>
      </c>
      <c r="F8" s="2" t="n">
        <v>16</v>
      </c>
      <c r="G8" s="2" t="n">
        <v>16</v>
      </c>
      <c r="H8" s="2" t="inlineStr">
        <is>
          <t>No</t>
        </is>
      </c>
      <c r="I8" s="8">
        <f>C8*D8*E8/8/1024</f>
        <v/>
      </c>
      <c r="J8" s="2" t="inlineStr">
        <is>
          <t>DRAIN.TIM</t>
        </is>
      </c>
    </row>
    <row r="9">
      <c r="A9" s="2" t="inlineStr">
        <is>
          <t>dresser</t>
        </is>
      </c>
      <c r="B9" s="2" t="inlineStr">
        <is>
          <t>textures/</t>
        </is>
      </c>
      <c r="C9" s="2" t="n">
        <v>128</v>
      </c>
      <c r="D9" s="2" t="n">
        <v>128</v>
      </c>
      <c r="E9" s="2" t="n">
        <v>4</v>
      </c>
      <c r="F9" s="2" t="n">
        <v>16</v>
      </c>
      <c r="G9" s="2" t="n">
        <v>16</v>
      </c>
      <c r="H9" s="2" t="inlineStr">
        <is>
          <t>No</t>
        </is>
      </c>
      <c r="I9" s="8">
        <f>C9*D9*E9/8/1024</f>
        <v/>
      </c>
      <c r="J9" s="2" t="inlineStr">
        <is>
          <t>DRESSER.TIM</t>
        </is>
      </c>
    </row>
    <row r="10">
      <c r="A10" s="2" t="inlineStr">
        <is>
          <t>flowerbed</t>
        </is>
      </c>
      <c r="B10" s="2" t="inlineStr">
        <is>
          <t>textures/</t>
        </is>
      </c>
      <c r="C10" s="2" t="n">
        <v>128</v>
      </c>
      <c r="D10" s="2" t="n">
        <v>128</v>
      </c>
      <c r="E10" s="2" t="n">
        <v>4</v>
      </c>
      <c r="F10" s="2" t="n">
        <v>16</v>
      </c>
      <c r="G10" s="2" t="n">
        <v>16</v>
      </c>
      <c r="H10" s="2" t="inlineStr">
        <is>
          <t>No</t>
        </is>
      </c>
      <c r="I10" s="8">
        <f>C10*D10*E10/8/1024</f>
        <v/>
      </c>
      <c r="J10" s="2" t="inlineStr">
        <is>
          <t>FLWRBED.TIM</t>
        </is>
      </c>
    </row>
    <row r="11">
      <c r="A11" s="2" t="inlineStr">
        <is>
          <t>fountain</t>
        </is>
      </c>
      <c r="B11" s="2" t="inlineStr">
        <is>
          <t>textures/</t>
        </is>
      </c>
      <c r="C11" s="2" t="n">
        <v>128</v>
      </c>
      <c r="D11" s="2" t="n">
        <v>128</v>
      </c>
      <c r="E11" s="2" t="n">
        <v>4</v>
      </c>
      <c r="F11" s="2" t="n">
        <v>16</v>
      </c>
      <c r="G11" s="2" t="n">
        <v>15</v>
      </c>
      <c r="H11" s="2" t="inlineStr">
        <is>
          <t>No</t>
        </is>
      </c>
      <c r="I11" s="8">
        <f>C11*D11*E11/8/1024</f>
        <v/>
      </c>
      <c r="J11" s="2" t="inlineStr">
        <is>
          <t>FOUNTAIN.TIM</t>
        </is>
      </c>
    </row>
    <row r="12">
      <c r="A12" s="2" t="inlineStr">
        <is>
          <t>grinder</t>
        </is>
      </c>
      <c r="B12" s="2" t="inlineStr">
        <is>
          <t>textures/</t>
        </is>
      </c>
      <c r="C12" s="2" t="n">
        <v>64</v>
      </c>
      <c r="D12" s="2" t="n">
        <v>64</v>
      </c>
      <c r="E12" s="2" t="n">
        <v>8</v>
      </c>
      <c r="F12" s="2" t="n">
        <v>256</v>
      </c>
      <c r="G12" s="2" t="n">
        <v>79</v>
      </c>
      <c r="H12" s="2" t="inlineStr">
        <is>
          <t>No</t>
        </is>
      </c>
      <c r="I12" s="8">
        <f>C12*D12*E12/8/1024</f>
        <v/>
      </c>
      <c r="J12" s="2" t="inlineStr">
        <is>
          <t>GRINDER.TIM</t>
        </is>
      </c>
    </row>
    <row r="13">
      <c r="A13" s="2" t="inlineStr">
        <is>
          <t>incinerator</t>
        </is>
      </c>
      <c r="B13" s="2" t="inlineStr">
        <is>
          <t>textures/catacombs/</t>
        </is>
      </c>
      <c r="C13" s="2" t="n">
        <v>128</v>
      </c>
      <c r="D13" s="2" t="n">
        <v>128</v>
      </c>
      <c r="E13" s="2" t="n">
        <v>8</v>
      </c>
      <c r="F13" s="2" t="n">
        <v>256</v>
      </c>
      <c r="G13" s="2" t="n">
        <v>114</v>
      </c>
      <c r="H13" s="2" t="inlineStr">
        <is>
          <t>No</t>
        </is>
      </c>
      <c r="I13" s="8">
        <f>C13*D13*E13/8/1024</f>
        <v/>
      </c>
      <c r="J13" s="2" t="inlineStr">
        <is>
          <t>INCINPRP.TIM</t>
        </is>
      </c>
    </row>
    <row r="14">
      <c r="A14" s="2" t="inlineStr">
        <is>
          <t>ladder</t>
        </is>
      </c>
      <c r="B14" s="2" t="inlineStr">
        <is>
          <t>textures/</t>
        </is>
      </c>
      <c r="C14" s="2" t="n">
        <v>128</v>
      </c>
      <c r="D14" s="2" t="n">
        <v>128</v>
      </c>
      <c r="E14" s="2" t="n">
        <v>4</v>
      </c>
      <c r="F14" s="2" t="n">
        <v>16</v>
      </c>
      <c r="G14" s="2" t="n">
        <v>16</v>
      </c>
      <c r="H14" s="2" t="inlineStr">
        <is>
          <t>No</t>
        </is>
      </c>
      <c r="I14" s="8">
        <f>C14*D14*E14/8/1024</f>
        <v/>
      </c>
      <c r="J14" s="2" t="inlineStr">
        <is>
          <t>LADDER.TIM</t>
        </is>
      </c>
    </row>
    <row r="15">
      <c r="A15" s="2" t="inlineStr">
        <is>
          <t>oil_container</t>
        </is>
      </c>
      <c r="B15" s="2" t="inlineStr">
        <is>
          <t>textures/</t>
        </is>
      </c>
      <c r="C15" s="2" t="n">
        <v>128</v>
      </c>
      <c r="D15" s="2" t="n">
        <v>128</v>
      </c>
      <c r="E15" s="2" t="n">
        <v>4</v>
      </c>
      <c r="F15" s="2" t="n">
        <v>16</v>
      </c>
      <c r="G15" s="2" t="n">
        <v>16</v>
      </c>
      <c r="H15" s="2" t="inlineStr">
        <is>
          <t>No</t>
        </is>
      </c>
      <c r="I15" s="8">
        <f>C15*D15*E15/8/1024</f>
        <v/>
      </c>
      <c r="J15" s="2" t="inlineStr">
        <is>
          <t>OILCNTNR.TIM</t>
        </is>
      </c>
    </row>
    <row r="16">
      <c r="A16" s="2" t="inlineStr">
        <is>
          <t>opn_drwr</t>
        </is>
      </c>
      <c r="B16" s="2" t="inlineStr">
        <is>
          <t>textures/</t>
        </is>
      </c>
      <c r="C16" s="2" t="n">
        <v>128</v>
      </c>
      <c r="D16" s="2" t="n">
        <v>128</v>
      </c>
      <c r="E16" s="2" t="n">
        <v>8</v>
      </c>
      <c r="F16" s="2" t="n">
        <v>256</v>
      </c>
      <c r="G16" s="2" t="n">
        <v>90</v>
      </c>
      <c r="H16" s="2" t="inlineStr">
        <is>
          <t>No</t>
        </is>
      </c>
      <c r="I16" s="8">
        <f>C16*D16*E16/8/1024</f>
        <v/>
      </c>
      <c r="J16" s="2" t="inlineStr">
        <is>
          <t>OPNDRWR.TIM</t>
        </is>
      </c>
    </row>
    <row r="17">
      <c r="A17" s="2" t="inlineStr">
        <is>
          <t>pipe</t>
        </is>
      </c>
      <c r="B17" s="2" t="inlineStr">
        <is>
          <t>textures/</t>
        </is>
      </c>
      <c r="C17" s="2" t="n">
        <v>128</v>
      </c>
      <c r="D17" s="2" t="n">
        <v>128</v>
      </c>
      <c r="E17" s="2" t="n">
        <v>4</v>
      </c>
      <c r="F17" s="2" t="n">
        <v>16</v>
      </c>
      <c r="G17" s="2" t="n">
        <v>16</v>
      </c>
      <c r="H17" s="2" t="inlineStr">
        <is>
          <t>No</t>
        </is>
      </c>
      <c r="I17" s="8">
        <f>C17*D17*E17/8/1024</f>
        <v/>
      </c>
      <c r="J17" s="2" t="inlineStr">
        <is>
          <t>PIPE.TIM</t>
        </is>
      </c>
    </row>
    <row r="18">
      <c r="A18" s="2" t="inlineStr">
        <is>
          <t>pipe_gh</t>
        </is>
      </c>
      <c r="B18" s="2" t="inlineStr">
        <is>
          <t>textures/</t>
        </is>
      </c>
      <c r="C18" s="2" t="n">
        <v>128</v>
      </c>
      <c r="D18" s="2" t="n">
        <v>128</v>
      </c>
      <c r="E18" s="2" t="n">
        <v>4</v>
      </c>
      <c r="F18" s="2" t="n">
        <v>16</v>
      </c>
      <c r="G18" s="2" t="n">
        <v>16</v>
      </c>
      <c r="H18" s="2" t="inlineStr">
        <is>
          <t>No</t>
        </is>
      </c>
      <c r="I18" s="8">
        <f>C18*D18*E18/8/1024</f>
        <v/>
      </c>
      <c r="J18" s="2" t="inlineStr">
        <is>
          <t>PIPEGH.TIM</t>
        </is>
      </c>
    </row>
    <row r="19">
      <c r="A19" s="2" t="inlineStr">
        <is>
          <t>plinth</t>
        </is>
      </c>
      <c r="B19" s="2" t="inlineStr">
        <is>
          <t>textures/</t>
        </is>
      </c>
      <c r="C19" s="2" t="n">
        <v>128</v>
      </c>
      <c r="D19" s="2" t="n">
        <v>128</v>
      </c>
      <c r="E19" s="2" t="n">
        <v>4</v>
      </c>
      <c r="F19" s="2" t="n">
        <v>16</v>
      </c>
      <c r="G19" s="2" t="n">
        <v>16</v>
      </c>
      <c r="H19" s="2" t="inlineStr">
        <is>
          <t>No</t>
        </is>
      </c>
      <c r="I19" s="8">
        <f>C19*D19*E19/8/1024</f>
        <v/>
      </c>
      <c r="J19" s="2" t="inlineStr">
        <is>
          <t>PLINTH.TIM</t>
        </is>
      </c>
    </row>
    <row r="20">
      <c r="A20" s="2" t="inlineStr">
        <is>
          <t>plinth_rg</t>
        </is>
      </c>
      <c r="B20" s="2" t="inlineStr">
        <is>
          <t>textures/</t>
        </is>
      </c>
      <c r="C20" s="2" t="n">
        <v>128</v>
      </c>
      <c r="D20" s="2" t="n">
        <v>128</v>
      </c>
      <c r="E20" s="2" t="n">
        <v>8</v>
      </c>
      <c r="F20" s="2" t="n">
        <v>256</v>
      </c>
      <c r="G20" s="2" t="n">
        <v>78</v>
      </c>
      <c r="H20" s="2" t="inlineStr">
        <is>
          <t>No</t>
        </is>
      </c>
      <c r="I20" s="8">
        <f>C20*D20*E20/8/1024</f>
        <v/>
      </c>
      <c r="J20" s="2" t="inlineStr">
        <is>
          <t>PLNTHRG.TIM</t>
        </is>
      </c>
    </row>
    <row r="21">
      <c r="A21" s="2" t="inlineStr">
        <is>
          <t>poison_flower_base</t>
        </is>
      </c>
      <c r="B21" s="2" t="inlineStr">
        <is>
          <t>textures/</t>
        </is>
      </c>
      <c r="C21" s="2" t="n">
        <v>64</v>
      </c>
      <c r="D21" s="2" t="n">
        <v>64</v>
      </c>
      <c r="E21" s="2" t="n">
        <v>4</v>
      </c>
      <c r="F21" s="2" t="n">
        <v>16</v>
      </c>
      <c r="G21" s="2" t="n">
        <v>16</v>
      </c>
      <c r="H21" s="2" t="inlineStr">
        <is>
          <t>No</t>
        </is>
      </c>
      <c r="I21" s="8">
        <f>C21*D21*E21/8/1024</f>
        <v/>
      </c>
      <c r="J21" s="2" t="inlineStr">
        <is>
          <t>PSNFLWR.TIM</t>
        </is>
      </c>
    </row>
    <row r="22">
      <c r="A22" s="2" t="inlineStr">
        <is>
          <t>poison_flower_base_gh</t>
        </is>
      </c>
      <c r="B22" s="2" t="inlineStr">
        <is>
          <t>textures/</t>
        </is>
      </c>
      <c r="C22" s="2" t="n">
        <v>64</v>
      </c>
      <c r="D22" s="2" t="n">
        <v>64</v>
      </c>
      <c r="E22" s="2" t="n">
        <v>4</v>
      </c>
      <c r="F22" s="2" t="n">
        <v>16</v>
      </c>
      <c r="G22" s="2" t="n">
        <v>16</v>
      </c>
      <c r="H22" s="2" t="inlineStr">
        <is>
          <t>No</t>
        </is>
      </c>
      <c r="I22" s="8">
        <f>C22*D22*E22/8/1024</f>
        <v/>
      </c>
      <c r="J22" s="2" t="inlineStr">
        <is>
          <t>PSNFLGH.TIM</t>
        </is>
      </c>
    </row>
    <row r="23">
      <c r="A23" s="2" t="inlineStr">
        <is>
          <t>sconce</t>
        </is>
      </c>
      <c r="B23" s="2" t="inlineStr">
        <is>
          <t>textures/</t>
        </is>
      </c>
      <c r="C23" s="2" t="n">
        <v>128</v>
      </c>
      <c r="D23" s="2" t="n">
        <v>128</v>
      </c>
      <c r="E23" s="2" t="n">
        <v>8</v>
      </c>
      <c r="F23" s="2" t="n">
        <v>256</v>
      </c>
      <c r="G23" s="2" t="n">
        <v>138</v>
      </c>
      <c r="H23" s="2" t="inlineStr">
        <is>
          <t>Yes</t>
        </is>
      </c>
      <c r="I23" s="8">
        <f>C23*D23*E23/8/1024</f>
        <v/>
      </c>
      <c r="J23" s="2" t="inlineStr">
        <is>
          <t>SCONCE.TIM</t>
        </is>
      </c>
    </row>
    <row r="24">
      <c r="A24" s="2" t="inlineStr">
        <is>
          <t>shelf_incinerator</t>
        </is>
      </c>
      <c r="B24" s="2" t="inlineStr">
        <is>
          <t>textures/catacombs/</t>
        </is>
      </c>
      <c r="C24" s="2" t="n">
        <v>128</v>
      </c>
      <c r="D24" s="2" t="n">
        <v>128</v>
      </c>
      <c r="E24" s="2" t="n">
        <v>8</v>
      </c>
      <c r="F24" s="2" t="n">
        <v>256</v>
      </c>
      <c r="G24" s="2" t="n">
        <v>114</v>
      </c>
      <c r="H24" s="2" t="inlineStr">
        <is>
          <t>No</t>
        </is>
      </c>
      <c r="I24" s="8">
        <f>C24*D24*E24/8/1024</f>
        <v/>
      </c>
      <c r="J24" s="2" t="inlineStr">
        <is>
          <t>SHLFINCN.TIM</t>
        </is>
      </c>
    </row>
    <row r="25">
      <c r="A25" s="2" t="inlineStr">
        <is>
          <t>stove</t>
        </is>
      </c>
      <c r="B25" s="2" t="inlineStr">
        <is>
          <t>textures/</t>
        </is>
      </c>
      <c r="C25" s="2" t="n">
        <v>128</v>
      </c>
      <c r="D25" s="2" t="n">
        <v>128</v>
      </c>
      <c r="E25" s="2" t="n">
        <v>4</v>
      </c>
      <c r="F25" s="2" t="n">
        <v>16</v>
      </c>
      <c r="G25" s="2" t="n">
        <v>11</v>
      </c>
      <c r="H25" s="2" t="inlineStr">
        <is>
          <t>No</t>
        </is>
      </c>
      <c r="I25" s="8">
        <f>C25*D25*E25/8/1024</f>
        <v/>
      </c>
      <c r="J25" s="2" t="inlineStr">
        <is>
          <t>STOVE.TIM</t>
        </is>
      </c>
    </row>
    <row r="26">
      <c r="A26" s="2" t="inlineStr">
        <is>
          <t>vines</t>
        </is>
      </c>
      <c r="B26" s="2" t="inlineStr">
        <is>
          <t>textures/</t>
        </is>
      </c>
      <c r="C26" s="2" t="n">
        <v>128</v>
      </c>
      <c r="D26" s="2" t="n">
        <v>128</v>
      </c>
      <c r="E26" s="2" t="n">
        <v>4</v>
      </c>
      <c r="F26" s="2" t="n">
        <v>16</v>
      </c>
      <c r="G26" s="2" t="n">
        <v>16</v>
      </c>
      <c r="H26" s="2" t="inlineStr">
        <is>
          <t>No</t>
        </is>
      </c>
      <c r="I26" s="8">
        <f>C26*D26*E26/8/1024</f>
        <v/>
      </c>
      <c r="J26" s="2" t="inlineStr">
        <is>
          <t>VINES.TIM</t>
        </is>
      </c>
    </row>
    <row r="27">
      <c r="A27" s="2" t="inlineStr">
        <is>
          <t>wdcrate</t>
        </is>
      </c>
      <c r="B27" s="2" t="inlineStr">
        <is>
          <t>textures/</t>
        </is>
      </c>
      <c r="C27" s="2" t="n">
        <v>64</v>
      </c>
      <c r="D27" s="2" t="n">
        <v>64</v>
      </c>
      <c r="E27" s="2" t="n">
        <v>4</v>
      </c>
      <c r="F27" s="2" t="n">
        <v>16</v>
      </c>
      <c r="G27" s="2" t="n">
        <v>16</v>
      </c>
      <c r="H27" s="2" t="inlineStr">
        <is>
          <t>No</t>
        </is>
      </c>
      <c r="I27" s="8">
        <f>C27*D27*E27/8/1024</f>
        <v/>
      </c>
      <c r="J27" s="2" t="inlineStr">
        <is>
          <t>WCRATE.TIM</t>
        </is>
      </c>
    </row>
  </sheetData>
  <autoFilter ref="A1:J27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0" customWidth="1" min="5" max="5"/>
    <col width="13" customWidth="1" min="6" max="6"/>
    <col width="13" customWidth="1" min="7" max="7"/>
    <col width="12" customWidth="1" min="8" max="8"/>
    <col width="11" customWidth="1" min="9" max="9"/>
    <col width="24" customWidth="1" min="10" max="10"/>
  </cols>
  <sheetData>
    <row r="1">
      <c r="A1" s="7" t="inlineStr">
        <is>
          <t>Texture</t>
        </is>
      </c>
      <c r="B1" s="7" t="inlineStr">
        <is>
          <t>Folder</t>
        </is>
      </c>
      <c r="C1" s="7" t="inlineStr">
        <is>
          <t>Width (px)</t>
        </is>
      </c>
      <c r="D1" s="7" t="inlineStr">
        <is>
          <t>Height (px)</t>
        </is>
      </c>
      <c r="E1" s="7" t="inlineStr">
        <is>
          <t>Bit depth</t>
        </is>
      </c>
      <c r="F1" s="7" t="inlineStr">
        <is>
          <t>Palette slots</t>
        </is>
      </c>
      <c r="G1" s="7" t="inlineStr">
        <is>
          <t>Colours used</t>
        </is>
      </c>
      <c r="H1" s="7" t="inlineStr">
        <is>
          <t>Transparent</t>
        </is>
      </c>
      <c r="I1" s="7" t="inlineStr">
        <is>
          <t>VRAM (KB)</t>
        </is>
      </c>
      <c r="J1" s="7" t="inlineStr">
        <is>
          <t>Disc file</t>
        </is>
      </c>
    </row>
    <row r="2">
      <c r="A2" s="2" t="inlineStr">
        <is>
          <t>bl_ky_stn</t>
        </is>
      </c>
      <c r="B2" s="2" t="inlineStr">
        <is>
          <t>textures/</t>
        </is>
      </c>
      <c r="C2" s="2" t="n">
        <v>32</v>
      </c>
      <c r="D2" s="2" t="n">
        <v>32</v>
      </c>
      <c r="E2" s="2" t="n">
        <v>4</v>
      </c>
      <c r="F2" s="2" t="n">
        <v>16</v>
      </c>
      <c r="G2" s="2" t="n">
        <v>12</v>
      </c>
      <c r="H2" s="2" t="inlineStr">
        <is>
          <t>Yes</t>
        </is>
      </c>
      <c r="I2" s="8">
        <f>C2*D2*E2/8/1024</f>
        <v/>
      </c>
      <c r="J2" s="2" t="inlineStr">
        <is>
          <t>BLKYSTN.TIM</t>
        </is>
      </c>
    </row>
    <row r="3">
      <c r="A3" s="2" t="inlineStr">
        <is>
          <t>bld_prl</t>
        </is>
      </c>
      <c r="B3" s="2" t="inlineStr">
        <is>
          <t>textures/</t>
        </is>
      </c>
      <c r="C3" s="2" t="n">
        <v>32</v>
      </c>
      <c r="D3" s="2" t="n">
        <v>32</v>
      </c>
      <c r="E3" s="2" t="n">
        <v>4</v>
      </c>
      <c r="F3" s="2" t="n">
        <v>16</v>
      </c>
      <c r="G3" s="2" t="n">
        <v>15</v>
      </c>
      <c r="H3" s="2" t="inlineStr">
        <is>
          <t>Yes</t>
        </is>
      </c>
      <c r="I3" s="8">
        <f>C3*D3*E3/8/1024</f>
        <v/>
      </c>
      <c r="J3" s="2" t="inlineStr">
        <is>
          <t>BLDPRL.TIM</t>
        </is>
      </c>
    </row>
    <row r="4">
      <c r="A4" s="2" t="inlineStr">
        <is>
          <t>cppr_pt</t>
        </is>
      </c>
      <c r="B4" s="2" t="inlineStr">
        <is>
          <t>textures/</t>
        </is>
      </c>
      <c r="C4" s="2" t="n">
        <v>32</v>
      </c>
      <c r="D4" s="2" t="n">
        <v>32</v>
      </c>
      <c r="E4" s="2" t="n">
        <v>4</v>
      </c>
      <c r="F4" s="2" t="n">
        <v>16</v>
      </c>
      <c r="G4" s="2" t="n">
        <v>14</v>
      </c>
      <c r="H4" s="2" t="inlineStr">
        <is>
          <t>Yes</t>
        </is>
      </c>
      <c r="I4" s="8">
        <f>C4*D4*E4/8/1024</f>
        <v/>
      </c>
      <c r="J4" s="2" t="inlineStr">
        <is>
          <t>CPPRPOT.TIM</t>
        </is>
      </c>
    </row>
    <row r="5">
      <c r="A5" s="2" t="inlineStr">
        <is>
          <t>gl_ky</t>
        </is>
      </c>
      <c r="B5" s="2" t="inlineStr">
        <is>
          <t>textures/</t>
        </is>
      </c>
      <c r="C5" s="2" t="n">
        <v>32</v>
      </c>
      <c r="D5" s="2" t="n">
        <v>32</v>
      </c>
      <c r="E5" s="2" t="n">
        <v>4</v>
      </c>
      <c r="F5" s="2" t="n">
        <v>16</v>
      </c>
      <c r="G5" s="2" t="n">
        <v>16</v>
      </c>
      <c r="H5" s="2" t="inlineStr">
        <is>
          <t>Yes</t>
        </is>
      </c>
      <c r="I5" s="8">
        <f>C5*D5*E5/8/1024</f>
        <v/>
      </c>
      <c r="J5" s="2" t="inlineStr">
        <is>
          <t>GLKY.TIM</t>
        </is>
      </c>
    </row>
    <row r="6">
      <c r="A6" s="2" t="inlineStr">
        <is>
          <t>grn_ky_stn</t>
        </is>
      </c>
      <c r="B6" s="2" t="inlineStr">
        <is>
          <t>textures/</t>
        </is>
      </c>
      <c r="C6" s="2" t="n">
        <v>32</v>
      </c>
      <c r="D6" s="2" t="n">
        <v>32</v>
      </c>
      <c r="E6" s="2" t="n">
        <v>4</v>
      </c>
      <c r="F6" s="2" t="n">
        <v>16</v>
      </c>
      <c r="G6" s="2" t="n">
        <v>16</v>
      </c>
      <c r="H6" s="2" t="inlineStr">
        <is>
          <t>Yes</t>
        </is>
      </c>
      <c r="I6" s="8">
        <f>C6*D6*E6/8/1024</f>
        <v/>
      </c>
      <c r="J6" s="2" t="inlineStr">
        <is>
          <t>GRNKYSTN.TIM</t>
        </is>
      </c>
    </row>
    <row r="7">
      <c r="A7" s="2" t="inlineStr">
        <is>
          <t>hatch_key</t>
        </is>
      </c>
      <c r="B7" s="2" t="inlineStr">
        <is>
          <t>textures/</t>
        </is>
      </c>
      <c r="C7" s="2" t="n">
        <v>32</v>
      </c>
      <c r="D7" s="2" t="n">
        <v>32</v>
      </c>
      <c r="E7" s="2" t="n">
        <v>4</v>
      </c>
      <c r="F7" s="2" t="n">
        <v>16</v>
      </c>
      <c r="G7" s="2" t="n">
        <v>10</v>
      </c>
      <c r="H7" s="2" t="inlineStr">
        <is>
          <t>Yes</t>
        </is>
      </c>
      <c r="I7" s="8">
        <f>C7*D7*E7/8/1024</f>
        <v/>
      </c>
      <c r="J7" s="2" t="inlineStr">
        <is>
          <t>HATCHKEY.TIM</t>
        </is>
      </c>
    </row>
    <row r="8">
      <c r="A8" s="2" t="inlineStr">
        <is>
          <t>key</t>
        </is>
      </c>
      <c r="B8" s="2" t="inlineStr">
        <is>
          <t>textures/</t>
        </is>
      </c>
      <c r="C8" s="2" t="n">
        <v>32</v>
      </c>
      <c r="D8" s="2" t="n">
        <v>32</v>
      </c>
      <c r="E8" s="2" t="n">
        <v>4</v>
      </c>
      <c r="F8" s="2" t="n">
        <v>16</v>
      </c>
      <c r="G8" s="2" t="n">
        <v>6</v>
      </c>
      <c r="H8" s="2" t="inlineStr">
        <is>
          <t>Yes</t>
        </is>
      </c>
      <c r="I8" s="8">
        <f>C8*D8*E8/8/1024</f>
        <v/>
      </c>
      <c r="J8" s="2" t="inlineStr">
        <is>
          <t>KEY.TIM</t>
        </is>
      </c>
    </row>
    <row r="9">
      <c r="A9" s="2" t="inlineStr">
        <is>
          <t>mgn_ky_stn</t>
        </is>
      </c>
      <c r="B9" s="2" t="inlineStr">
        <is>
          <t>textures/</t>
        </is>
      </c>
      <c r="C9" s="2" t="n">
        <v>32</v>
      </c>
      <c r="D9" s="2" t="n">
        <v>32</v>
      </c>
      <c r="E9" s="2" t="n">
        <v>4</v>
      </c>
      <c r="F9" s="2" t="n">
        <v>16</v>
      </c>
      <c r="G9" s="2" t="n">
        <v>9</v>
      </c>
      <c r="H9" s="2" t="inlineStr">
        <is>
          <t>Yes</t>
        </is>
      </c>
      <c r="I9" s="8">
        <f>C9*D9*E9/8/1024</f>
        <v/>
      </c>
      <c r="J9" s="2" t="inlineStr">
        <is>
          <t>MGNKYSTN.TIM</t>
        </is>
      </c>
    </row>
    <row r="10">
      <c r="A10" s="2" t="inlineStr">
        <is>
          <t>mt_sck</t>
        </is>
      </c>
      <c r="B10" s="2" t="inlineStr">
        <is>
          <t>textures/</t>
        </is>
      </c>
      <c r="C10" s="2" t="n">
        <v>32</v>
      </c>
      <c r="D10" s="2" t="n">
        <v>32</v>
      </c>
      <c r="E10" s="2" t="n">
        <v>4</v>
      </c>
      <c r="F10" s="2" t="n">
        <v>16</v>
      </c>
      <c r="G10" s="2" t="n">
        <v>15</v>
      </c>
      <c r="H10" s="2" t="inlineStr">
        <is>
          <t>Yes</t>
        </is>
      </c>
      <c r="I10" s="8">
        <f>C10*D10*E10/8/1024</f>
        <v/>
      </c>
      <c r="J10" s="2" t="inlineStr">
        <is>
          <t>MTSCK.TIM</t>
        </is>
      </c>
    </row>
    <row r="11">
      <c r="A11" s="2" t="inlineStr">
        <is>
          <t>pno_key</t>
        </is>
      </c>
      <c r="B11" s="2" t="inlineStr">
        <is>
          <t>textures/</t>
        </is>
      </c>
      <c r="C11" s="2" t="n">
        <v>32</v>
      </c>
      <c r="D11" s="2" t="n">
        <v>32</v>
      </c>
      <c r="E11" s="2" t="n">
        <v>4</v>
      </c>
      <c r="F11" s="2" t="n">
        <v>16</v>
      </c>
      <c r="G11" s="2" t="n">
        <v>6</v>
      </c>
      <c r="H11" s="2" t="inlineStr">
        <is>
          <t>Yes</t>
        </is>
      </c>
      <c r="I11" s="8">
        <f>C11*D11*E11/8/1024</f>
        <v/>
      </c>
      <c r="J11" s="2" t="inlineStr">
        <is>
          <t>PNOKEY.TIM</t>
        </is>
      </c>
    </row>
    <row r="12">
      <c r="A12" s="2" t="inlineStr">
        <is>
          <t>sml_med</t>
        </is>
      </c>
      <c r="B12" s="2" t="inlineStr">
        <is>
          <t>textures/</t>
        </is>
      </c>
      <c r="C12" s="2" t="n">
        <v>32</v>
      </c>
      <c r="D12" s="2" t="n">
        <v>32</v>
      </c>
      <c r="E12" s="2" t="n">
        <v>4</v>
      </c>
      <c r="F12" s="2" t="n">
        <v>16</v>
      </c>
      <c r="G12" s="2" t="n">
        <v>6</v>
      </c>
      <c r="H12" s="2" t="inlineStr">
        <is>
          <t>Yes</t>
        </is>
      </c>
      <c r="I12" s="8">
        <f>C12*D12*E12/8/1024</f>
        <v/>
      </c>
      <c r="J12" s="2" t="inlineStr">
        <is>
          <t>SML_MED.TIM</t>
        </is>
      </c>
    </row>
    <row r="13">
      <c r="A13" s="2" t="inlineStr">
        <is>
          <t>vlv_hndl</t>
        </is>
      </c>
      <c r="B13" s="2" t="inlineStr">
        <is>
          <t>textures/</t>
        </is>
      </c>
      <c r="C13" s="2" t="n">
        <v>64</v>
      </c>
      <c r="D13" s="2" t="n">
        <v>64</v>
      </c>
      <c r="E13" s="2" t="n">
        <v>4</v>
      </c>
      <c r="F13" s="2" t="n">
        <v>16</v>
      </c>
      <c r="G13" s="2" t="n">
        <v>10</v>
      </c>
      <c r="H13" s="2" t="inlineStr">
        <is>
          <t>Yes</t>
        </is>
      </c>
      <c r="I13" s="8">
        <f>C13*D13*E13/8/1024</f>
        <v/>
      </c>
      <c r="J13" s="2" t="inlineStr">
        <is>
          <t>VLVHNDL.TIM</t>
        </is>
      </c>
    </row>
    <row r="14">
      <c r="A14" s="2" t="inlineStr">
        <is>
          <t>wx_cb</t>
        </is>
      </c>
      <c r="B14" s="2" t="inlineStr">
        <is>
          <t>textures/</t>
        </is>
      </c>
      <c r="C14" s="2" t="n">
        <v>32</v>
      </c>
      <c r="D14" s="2" t="n">
        <v>32</v>
      </c>
      <c r="E14" s="2" t="n">
        <v>4</v>
      </c>
      <c r="F14" s="2" t="n">
        <v>16</v>
      </c>
      <c r="G14" s="2" t="n">
        <v>11</v>
      </c>
      <c r="H14" s="2" t="inlineStr">
        <is>
          <t>Yes</t>
        </is>
      </c>
      <c r="I14" s="8">
        <f>C14*D14*E14/8/1024</f>
        <v/>
      </c>
      <c r="J14" s="2" t="inlineStr">
        <is>
          <t>WXCB.TIM</t>
        </is>
      </c>
    </row>
    <row r="15">
      <c r="A15" s="2" t="inlineStr">
        <is>
          <t>ylw_ky_stn</t>
        </is>
      </c>
      <c r="B15" s="2" t="inlineStr">
        <is>
          <t>textures/</t>
        </is>
      </c>
      <c r="C15" s="2" t="n">
        <v>32</v>
      </c>
      <c r="D15" s="2" t="n">
        <v>32</v>
      </c>
      <c r="E15" s="2" t="n">
        <v>4</v>
      </c>
      <c r="F15" s="2" t="n">
        <v>16</v>
      </c>
      <c r="G15" s="2" t="n">
        <v>13</v>
      </c>
      <c r="H15" s="2" t="inlineStr">
        <is>
          <t>Yes</t>
        </is>
      </c>
      <c r="I15" s="8">
        <f>C15*D15*E15/8/1024</f>
        <v/>
      </c>
      <c r="J15" s="2" t="inlineStr">
        <is>
          <t>YLKYSTN.TIM</t>
        </is>
      </c>
    </row>
  </sheetData>
  <autoFilter ref="A1:J15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0" customWidth="1" min="5" max="5"/>
    <col width="13" customWidth="1" min="6" max="6"/>
    <col width="13" customWidth="1" min="7" max="7"/>
    <col width="12" customWidth="1" min="8" max="8"/>
    <col width="11" customWidth="1" min="9" max="9"/>
    <col width="24" customWidth="1" min="10" max="10"/>
  </cols>
  <sheetData>
    <row r="1">
      <c r="A1" s="7" t="inlineStr">
        <is>
          <t>Texture</t>
        </is>
      </c>
      <c r="B1" s="7" t="inlineStr">
        <is>
          <t>Folder</t>
        </is>
      </c>
      <c r="C1" s="7" t="inlineStr">
        <is>
          <t>Width (px)</t>
        </is>
      </c>
      <c r="D1" s="7" t="inlineStr">
        <is>
          <t>Height (px)</t>
        </is>
      </c>
      <c r="E1" s="7" t="inlineStr">
        <is>
          <t>Bit depth</t>
        </is>
      </c>
      <c r="F1" s="7" t="inlineStr">
        <is>
          <t>Palette slots</t>
        </is>
      </c>
      <c r="G1" s="7" t="inlineStr">
        <is>
          <t>Colours used</t>
        </is>
      </c>
      <c r="H1" s="7" t="inlineStr">
        <is>
          <t>Transparent</t>
        </is>
      </c>
      <c r="I1" s="7" t="inlineStr">
        <is>
          <t>VRAM (KB)</t>
        </is>
      </c>
      <c r="J1" s="7" t="inlineStr">
        <is>
          <t>Disc file</t>
        </is>
      </c>
    </row>
    <row r="2">
      <c r="A2" s="2" t="inlineStr">
        <is>
          <t>crucifaxe</t>
        </is>
      </c>
      <c r="B2" s="2" t="inlineStr">
        <is>
          <t>textures/</t>
        </is>
      </c>
      <c r="C2" s="2" t="n">
        <v>64</v>
      </c>
      <c r="D2" s="2" t="n">
        <v>64</v>
      </c>
      <c r="E2" s="2" t="n">
        <v>4</v>
      </c>
      <c r="F2" s="2" t="n">
        <v>16</v>
      </c>
      <c r="G2" s="2" t="n">
        <v>8</v>
      </c>
      <c r="H2" s="2" t="inlineStr">
        <is>
          <t>Yes</t>
        </is>
      </c>
      <c r="I2" s="8">
        <f>C2*D2*E2/8/1024</f>
        <v/>
      </c>
      <c r="J2" s="2" t="inlineStr">
        <is>
          <t>CRFXICON.TIM</t>
        </is>
      </c>
    </row>
    <row r="3">
      <c r="A3" s="2" t="inlineStr">
        <is>
          <t>flm_rnds</t>
        </is>
      </c>
      <c r="B3" s="2" t="inlineStr">
        <is>
          <t>textures/</t>
        </is>
      </c>
      <c r="C3" s="2" t="n">
        <v>64</v>
      </c>
      <c r="D3" s="2" t="n">
        <v>64</v>
      </c>
      <c r="E3" s="2" t="n">
        <v>4</v>
      </c>
      <c r="F3" s="2" t="n">
        <v>16</v>
      </c>
      <c r="G3" s="2" t="n">
        <v>13</v>
      </c>
      <c r="H3" s="2" t="inlineStr">
        <is>
          <t>Yes</t>
        </is>
      </c>
      <c r="I3" s="8">
        <f>C3*D3*E3/8/1024</f>
        <v/>
      </c>
      <c r="J3" s="2" t="inlineStr">
        <is>
          <t>FLMRNDS.TIM</t>
        </is>
      </c>
    </row>
    <row r="4">
      <c r="A4" s="2" t="inlineStr">
        <is>
          <t>graveolver</t>
        </is>
      </c>
      <c r="B4" s="2" t="inlineStr">
        <is>
          <t>textures/</t>
        </is>
      </c>
      <c r="C4" s="2" t="n">
        <v>64</v>
      </c>
      <c r="D4" s="2" t="n">
        <v>64</v>
      </c>
      <c r="E4" s="2" t="n">
        <v>4</v>
      </c>
      <c r="F4" s="2" t="n">
        <v>16</v>
      </c>
      <c r="G4" s="2" t="n">
        <v>7</v>
      </c>
      <c r="H4" s="2" t="inlineStr">
        <is>
          <t>Yes</t>
        </is>
      </c>
      <c r="I4" s="8">
        <f>C4*D4*E4/8/1024</f>
        <v/>
      </c>
      <c r="J4" s="2" t="inlineStr">
        <is>
          <t>GRAVOLVR.TIM</t>
        </is>
      </c>
    </row>
    <row r="5">
      <c r="A5" s="2" t="inlineStr">
        <is>
          <t>helluminator</t>
        </is>
      </c>
      <c r="B5" s="2" t="inlineStr">
        <is>
          <t>textures/</t>
        </is>
      </c>
      <c r="C5" s="2" t="n">
        <v>64</v>
      </c>
      <c r="D5" s="2" t="n">
        <v>64</v>
      </c>
      <c r="E5" s="2" t="n">
        <v>4</v>
      </c>
      <c r="F5" s="2" t="n">
        <v>16</v>
      </c>
      <c r="G5" s="2" t="n">
        <v>9</v>
      </c>
      <c r="H5" s="2" t="inlineStr">
        <is>
          <t>Yes</t>
        </is>
      </c>
      <c r="I5" s="8">
        <f>C5*D5*E5/8/1024</f>
        <v/>
      </c>
      <c r="J5" s="2" t="inlineStr">
        <is>
          <t>HELLUMIN.TIM</t>
        </is>
      </c>
    </row>
    <row r="6">
      <c r="A6" s="2" t="inlineStr">
        <is>
          <t>scat_rnds</t>
        </is>
      </c>
      <c r="B6" s="2" t="inlineStr">
        <is>
          <t>textures/</t>
        </is>
      </c>
      <c r="C6" s="2" t="n">
        <v>32</v>
      </c>
      <c r="D6" s="2" t="n">
        <v>32</v>
      </c>
      <c r="E6" s="2" t="n">
        <v>4</v>
      </c>
      <c r="F6" s="2" t="n">
        <v>16</v>
      </c>
      <c r="G6" s="2" t="n">
        <v>15</v>
      </c>
      <c r="H6" s="2" t="inlineStr">
        <is>
          <t>Yes</t>
        </is>
      </c>
      <c r="I6" s="8">
        <f>C6*D6*E6/8/1024</f>
        <v/>
      </c>
      <c r="J6" s="2" t="inlineStr">
        <is>
          <t>SCATRNDS.TIM</t>
        </is>
      </c>
    </row>
    <row r="7">
      <c r="A7" s="2" t="inlineStr">
        <is>
          <t>stnd_rnds</t>
        </is>
      </c>
      <c r="B7" s="2" t="inlineStr">
        <is>
          <t>textures/</t>
        </is>
      </c>
      <c r="C7" s="2" t="n">
        <v>64</v>
      </c>
      <c r="D7" s="2" t="n">
        <v>64</v>
      </c>
      <c r="E7" s="2" t="n">
        <v>4</v>
      </c>
      <c r="F7" s="2" t="n">
        <v>16</v>
      </c>
      <c r="G7" s="2" t="n">
        <v>10</v>
      </c>
      <c r="H7" s="2" t="inlineStr">
        <is>
          <t>Yes</t>
        </is>
      </c>
      <c r="I7" s="8">
        <f>C7*D7*E7/8/1024</f>
        <v/>
      </c>
      <c r="J7" s="2" t="inlineStr">
        <is>
          <t>STNDRNDS.TIM</t>
        </is>
      </c>
    </row>
  </sheetData>
  <autoFilter ref="A1:J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0" customWidth="1" min="5" max="5"/>
    <col width="13" customWidth="1" min="6" max="6"/>
    <col width="13" customWidth="1" min="7" max="7"/>
    <col width="12" customWidth="1" min="8" max="8"/>
    <col width="11" customWidth="1" min="9" max="9"/>
    <col width="24" customWidth="1" min="10" max="10"/>
  </cols>
  <sheetData>
    <row r="1">
      <c r="A1" s="7" t="inlineStr">
        <is>
          <t>Texture</t>
        </is>
      </c>
      <c r="B1" s="7" t="inlineStr">
        <is>
          <t>Folder</t>
        </is>
      </c>
      <c r="C1" s="7" t="inlineStr">
        <is>
          <t>Width (px)</t>
        </is>
      </c>
      <c r="D1" s="7" t="inlineStr">
        <is>
          <t>Height (px)</t>
        </is>
      </c>
      <c r="E1" s="7" t="inlineStr">
        <is>
          <t>Bit depth</t>
        </is>
      </c>
      <c r="F1" s="7" t="inlineStr">
        <is>
          <t>Palette slots</t>
        </is>
      </c>
      <c r="G1" s="7" t="inlineStr">
        <is>
          <t>Colours used</t>
        </is>
      </c>
      <c r="H1" s="7" t="inlineStr">
        <is>
          <t>Transparent</t>
        </is>
      </c>
      <c r="I1" s="7" t="inlineStr">
        <is>
          <t>VRAM (KB)</t>
        </is>
      </c>
      <c r="J1" s="7" t="inlineStr">
        <is>
          <t>Disc file</t>
        </is>
      </c>
    </row>
    <row r="2">
      <c r="A2" s="2" t="inlineStr">
        <is>
          <t>anzu_tab</t>
        </is>
      </c>
      <c r="B2" s="2" t="inlineStr">
        <is>
          <t>textures/</t>
        </is>
      </c>
      <c r="C2" s="2" t="n">
        <v>128</v>
      </c>
      <c r="D2" s="2" t="n">
        <v>128</v>
      </c>
      <c r="E2" s="2" t="n">
        <v>4</v>
      </c>
      <c r="F2" s="2" t="n">
        <v>16</v>
      </c>
      <c r="G2" s="2" t="n">
        <v>16</v>
      </c>
      <c r="H2" s="2" t="inlineStr">
        <is>
          <t>No</t>
        </is>
      </c>
      <c r="I2" s="8">
        <f>C2*D2*E2/8/1024</f>
        <v/>
      </c>
      <c r="J2" s="2" t="inlineStr">
        <is>
          <t>ANZUTAB.TIM</t>
        </is>
      </c>
    </row>
    <row r="3">
      <c r="A3" s="2" t="inlineStr">
        <is>
          <t>baby names</t>
        </is>
      </c>
      <c r="B3" s="2" t="inlineStr">
        <is>
          <t>textures/</t>
        </is>
      </c>
      <c r="C3" s="2" t="n">
        <v>128</v>
      </c>
      <c r="D3" s="2" t="n">
        <v>128</v>
      </c>
      <c r="E3" s="2" t="n">
        <v>4</v>
      </c>
      <c r="F3" s="2" t="n">
        <v>16</v>
      </c>
      <c r="G3" s="2" t="n">
        <v>15</v>
      </c>
      <c r="H3" s="2" t="inlineStr">
        <is>
          <t>No</t>
        </is>
      </c>
      <c r="I3" s="8">
        <f>C3*D3*E3/8/1024</f>
        <v/>
      </c>
      <c r="J3" s="2" t="inlineStr">
        <is>
          <t>BBYNAMES.TIM</t>
        </is>
      </c>
    </row>
    <row r="4">
      <c r="A4" s="2" t="inlineStr">
        <is>
          <t>cuneiform _symbols</t>
        </is>
      </c>
      <c r="B4" s="2" t="inlineStr">
        <is>
          <t>textures/</t>
        </is>
      </c>
      <c r="C4" s="2" t="n">
        <v>128</v>
      </c>
      <c r="D4" s="2" t="n">
        <v>128</v>
      </c>
      <c r="E4" s="2" t="n">
        <v>8</v>
      </c>
      <c r="F4" s="2" t="n">
        <v>256</v>
      </c>
      <c r="G4" s="2" t="n">
        <v>196</v>
      </c>
      <c r="H4" s="2" t="inlineStr">
        <is>
          <t>No</t>
        </is>
      </c>
      <c r="I4" s="8">
        <f>C4*D4*E4/8/1024</f>
        <v/>
      </c>
      <c r="J4" s="2" t="inlineStr">
        <is>
          <t>CUNEISYM.TIM</t>
        </is>
      </c>
    </row>
    <row r="5">
      <c r="A5" s="2" t="inlineStr">
        <is>
          <t>gula codes</t>
        </is>
      </c>
      <c r="B5" s="2" t="inlineStr">
        <is>
          <t>textures/</t>
        </is>
      </c>
      <c r="C5" s="2" t="n">
        <v>128</v>
      </c>
      <c r="D5" s="2" t="n">
        <v>128</v>
      </c>
      <c r="E5" s="2" t="n">
        <v>4</v>
      </c>
      <c r="F5" s="2" t="n">
        <v>16</v>
      </c>
      <c r="G5" s="2" t="n">
        <v>13</v>
      </c>
      <c r="H5" s="2" t="inlineStr">
        <is>
          <t>No</t>
        </is>
      </c>
      <c r="I5" s="8">
        <f>C5*D5*E5/8/1024</f>
        <v/>
      </c>
      <c r="J5" s="2" t="inlineStr">
        <is>
          <t>GULACODE.TIM</t>
        </is>
      </c>
    </row>
    <row r="6">
      <c r="A6" s="2" t="inlineStr">
        <is>
          <t>gula tablet</t>
        </is>
      </c>
      <c r="B6" s="2" t="inlineStr">
        <is>
          <t>textures/</t>
        </is>
      </c>
      <c r="C6" s="2" t="n">
        <v>128</v>
      </c>
      <c r="D6" s="2" t="n">
        <v>128</v>
      </c>
      <c r="E6" s="2" t="n">
        <v>4</v>
      </c>
      <c r="F6" s="2" t="n">
        <v>16</v>
      </c>
      <c r="G6" s="2" t="n">
        <v>13</v>
      </c>
      <c r="H6" s="2" t="inlineStr">
        <is>
          <t>Yes</t>
        </is>
      </c>
      <c r="I6" s="8">
        <f>C6*D6*E6/8/1024</f>
        <v/>
      </c>
      <c r="J6" s="2" t="inlineStr">
        <is>
          <t>GULATBLT.TIM</t>
        </is>
      </c>
    </row>
    <row r="7">
      <c r="A7" s="2" t="inlineStr">
        <is>
          <t>lamashtu arm</t>
        </is>
      </c>
      <c r="B7" s="2" t="inlineStr">
        <is>
          <t>textures/</t>
        </is>
      </c>
      <c r="C7" s="2" t="n">
        <v>128</v>
      </c>
      <c r="D7" s="2" t="n">
        <v>128</v>
      </c>
      <c r="E7" s="2" t="n">
        <v>4</v>
      </c>
      <c r="F7" s="2" t="n">
        <v>16</v>
      </c>
      <c r="G7" s="2" t="n">
        <v>15</v>
      </c>
      <c r="H7" s="2" t="inlineStr">
        <is>
          <t>No</t>
        </is>
      </c>
      <c r="I7" s="8">
        <f>C7*D7*E7/8/1024</f>
        <v/>
      </c>
      <c r="J7" s="2" t="inlineStr">
        <is>
          <t>LMSHARM.TIM</t>
        </is>
      </c>
    </row>
    <row r="8">
      <c r="A8" s="2" t="inlineStr">
        <is>
          <t>lamashtu pearl</t>
        </is>
      </c>
      <c r="B8" s="2" t="inlineStr">
        <is>
          <t>textures/</t>
        </is>
      </c>
      <c r="C8" s="2" t="n">
        <v>128</v>
      </c>
      <c r="D8" s="2" t="n">
        <v>128</v>
      </c>
      <c r="E8" s="2" t="n">
        <v>4</v>
      </c>
      <c r="F8" s="2" t="n">
        <v>16</v>
      </c>
      <c r="G8" s="2" t="n">
        <v>16</v>
      </c>
      <c r="H8" s="2" t="inlineStr">
        <is>
          <t>No</t>
        </is>
      </c>
      <c r="I8" s="8">
        <f>C8*D8*E8/8/1024</f>
        <v/>
      </c>
      <c r="J8" s="2" t="inlineStr">
        <is>
          <t>LMSPEARL.TIM</t>
        </is>
      </c>
    </row>
    <row r="9">
      <c r="A9" s="2" t="inlineStr">
        <is>
          <t>lamashtu tablet</t>
        </is>
      </c>
      <c r="B9" s="2" t="inlineStr">
        <is>
          <t>textures/</t>
        </is>
      </c>
      <c r="C9" s="2" t="n">
        <v>128</v>
      </c>
      <c r="D9" s="2" t="n">
        <v>128</v>
      </c>
      <c r="E9" s="2" t="n">
        <v>4</v>
      </c>
      <c r="F9" s="2" t="n">
        <v>16</v>
      </c>
      <c r="G9" s="2" t="n">
        <v>14</v>
      </c>
      <c r="H9" s="2" t="inlineStr">
        <is>
          <t>No</t>
        </is>
      </c>
      <c r="I9" s="8">
        <f>C9*D9*E9/8/1024</f>
        <v/>
      </c>
      <c r="J9" s="2" t="inlineStr">
        <is>
          <t>LMSHTBLT.TIM</t>
        </is>
      </c>
    </row>
    <row r="10">
      <c r="A10" s="2" t="inlineStr">
        <is>
          <t>piano_keys</t>
        </is>
      </c>
      <c r="B10" s="2" t="inlineStr">
        <is>
          <t>textures/</t>
        </is>
      </c>
      <c r="C10" s="2" t="n">
        <v>128</v>
      </c>
      <c r="D10" s="2" t="n">
        <v>128</v>
      </c>
      <c r="E10" s="2" t="n">
        <v>4</v>
      </c>
      <c r="F10" s="2" t="n">
        <v>16</v>
      </c>
      <c r="G10" s="2" t="n">
        <v>14</v>
      </c>
      <c r="H10" s="2" t="inlineStr">
        <is>
          <t>No</t>
        </is>
      </c>
      <c r="I10" s="8">
        <f>C10*D10*E10/8/1024</f>
        <v/>
      </c>
      <c r="J10" s="2" t="inlineStr">
        <is>
          <t>PIANOKEY.TIM</t>
        </is>
      </c>
    </row>
    <row r="11">
      <c r="A11" s="2" t="inlineStr">
        <is>
          <t>piano_keys_full</t>
        </is>
      </c>
      <c r="B11" s="2" t="inlineStr">
        <is>
          <t>textures/</t>
        </is>
      </c>
      <c r="C11" s="2" t="n">
        <v>128</v>
      </c>
      <c r="D11" s="2" t="n">
        <v>128</v>
      </c>
      <c r="E11" s="2" t="n">
        <v>4</v>
      </c>
      <c r="F11" s="2" t="n">
        <v>16</v>
      </c>
      <c r="G11" s="2" t="n">
        <v>15</v>
      </c>
      <c r="H11" s="2" t="inlineStr">
        <is>
          <t>No</t>
        </is>
      </c>
      <c r="I11" s="8">
        <f>C11*D11*E11/8/1024</f>
        <v/>
      </c>
      <c r="J11" s="2" t="inlineStr">
        <is>
          <t>PIANOFUL.TIM</t>
        </is>
      </c>
    </row>
    <row r="12">
      <c r="A12" s="2" t="inlineStr">
        <is>
          <t>pipe_button_off</t>
        </is>
      </c>
      <c r="B12" s="2" t="inlineStr">
        <is>
          <t>textures/</t>
        </is>
      </c>
      <c r="C12" s="2" t="n">
        <v>32</v>
      </c>
      <c r="D12" s="2" t="n">
        <v>32</v>
      </c>
      <c r="E12" s="2" t="n">
        <v>4</v>
      </c>
      <c r="F12" s="2" t="n">
        <v>16</v>
      </c>
      <c r="G12" s="2" t="n">
        <v>15</v>
      </c>
      <c r="H12" s="2" t="inlineStr">
        <is>
          <t>No</t>
        </is>
      </c>
      <c r="I12" s="8">
        <f>C12*D12*E12/8/1024</f>
        <v/>
      </c>
      <c r="J12" s="2" t="inlineStr">
        <is>
          <t>PIPEBTNO.TIM</t>
        </is>
      </c>
    </row>
    <row r="13">
      <c r="A13" s="2" t="inlineStr">
        <is>
          <t>pipe_button_on</t>
        </is>
      </c>
      <c r="B13" s="2" t="inlineStr">
        <is>
          <t>textures/</t>
        </is>
      </c>
      <c r="C13" s="2" t="n">
        <v>32</v>
      </c>
      <c r="D13" s="2" t="n">
        <v>32</v>
      </c>
      <c r="E13" s="2" t="n">
        <v>4</v>
      </c>
      <c r="F13" s="2" t="n">
        <v>16</v>
      </c>
      <c r="G13" s="2" t="n">
        <v>14</v>
      </c>
      <c r="H13" s="2" t="inlineStr">
        <is>
          <t>No</t>
        </is>
      </c>
      <c r="I13" s="8">
        <f>C13*D13*E13/8/1024</f>
        <v/>
      </c>
      <c r="J13" s="2" t="inlineStr">
        <is>
          <t>PIPEBTNN.TIM</t>
        </is>
      </c>
    </row>
    <row r="14">
      <c r="A14" s="2" t="inlineStr">
        <is>
          <t>plinth_diamond</t>
        </is>
      </c>
      <c r="B14" s="2" t="inlineStr">
        <is>
          <t>textures/</t>
        </is>
      </c>
      <c r="C14" s="2" t="n">
        <v>128</v>
      </c>
      <c r="D14" s="2" t="n">
        <v>128</v>
      </c>
      <c r="E14" s="2" t="n">
        <v>4</v>
      </c>
      <c r="F14" s="2" t="n">
        <v>16</v>
      </c>
      <c r="G14" s="2" t="n">
        <v>16</v>
      </c>
      <c r="H14" s="2" t="inlineStr">
        <is>
          <t>No</t>
        </is>
      </c>
      <c r="I14" s="8">
        <f>C14*D14*E14/8/1024</f>
        <v/>
      </c>
      <c r="J14" s="2" t="inlineStr">
        <is>
          <t>PLNTHDMD.TIM</t>
        </is>
      </c>
    </row>
    <row r="15">
      <c r="A15" s="2" t="inlineStr">
        <is>
          <t>stable glyphs</t>
        </is>
      </c>
      <c r="B15" s="2" t="inlineStr">
        <is>
          <t>textures/</t>
        </is>
      </c>
      <c r="C15" s="2" t="n">
        <v>128</v>
      </c>
      <c r="D15" s="2" t="n">
        <v>128</v>
      </c>
      <c r="E15" s="2" t="n">
        <v>4</v>
      </c>
      <c r="F15" s="2" t="n">
        <v>16</v>
      </c>
      <c r="G15" s="2" t="n">
        <v>15</v>
      </c>
      <c r="H15" s="2" t="inlineStr">
        <is>
          <t>No</t>
        </is>
      </c>
      <c r="I15" s="8">
        <f>C15*D15*E15/8/1024</f>
        <v/>
      </c>
      <c r="J15" s="2" t="inlineStr">
        <is>
          <t>STBLGLPH.TIM</t>
        </is>
      </c>
    </row>
    <row r="16">
      <c r="A16" s="2" t="inlineStr">
        <is>
          <t>trck_clue</t>
        </is>
      </c>
      <c r="B16" s="2" t="inlineStr">
        <is>
          <t>textures/</t>
        </is>
      </c>
      <c r="C16" s="2" t="n">
        <v>128</v>
      </c>
      <c r="D16" s="2" t="n">
        <v>128</v>
      </c>
      <c r="E16" s="2" t="n">
        <v>4</v>
      </c>
      <c r="F16" s="2" t="n">
        <v>16</v>
      </c>
      <c r="G16" s="2" t="n">
        <v>16</v>
      </c>
      <c r="H16" s="2" t="inlineStr">
        <is>
          <t>No</t>
        </is>
      </c>
      <c r="I16" s="8">
        <f>C16*D16*E16/8/1024</f>
        <v/>
      </c>
      <c r="J16" s="2" t="inlineStr">
        <is>
          <t>TRCKCLUE.TIM</t>
        </is>
      </c>
    </row>
  </sheetData>
  <autoFilter ref="A1:J16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0" customWidth="1" min="5" max="5"/>
    <col width="13" customWidth="1" min="6" max="6"/>
    <col width="13" customWidth="1" min="7" max="7"/>
    <col width="12" customWidth="1" min="8" max="8"/>
    <col width="11" customWidth="1" min="9" max="9"/>
    <col width="24" customWidth="1" min="10" max="10"/>
  </cols>
  <sheetData>
    <row r="1">
      <c r="A1" s="7" t="inlineStr">
        <is>
          <t>Texture</t>
        </is>
      </c>
      <c r="B1" s="7" t="inlineStr">
        <is>
          <t>Folder</t>
        </is>
      </c>
      <c r="C1" s="7" t="inlineStr">
        <is>
          <t>Width (px)</t>
        </is>
      </c>
      <c r="D1" s="7" t="inlineStr">
        <is>
          <t>Height (px)</t>
        </is>
      </c>
      <c r="E1" s="7" t="inlineStr">
        <is>
          <t>Bit depth</t>
        </is>
      </c>
      <c r="F1" s="7" t="inlineStr">
        <is>
          <t>Palette slots</t>
        </is>
      </c>
      <c r="G1" s="7" t="inlineStr">
        <is>
          <t>Colours used</t>
        </is>
      </c>
      <c r="H1" s="7" t="inlineStr">
        <is>
          <t>Transparent</t>
        </is>
      </c>
      <c r="I1" s="7" t="inlineStr">
        <is>
          <t>VRAM (KB)</t>
        </is>
      </c>
      <c r="J1" s="7" t="inlineStr">
        <is>
          <t>Disc file</t>
        </is>
      </c>
    </row>
    <row r="2">
      <c r="A2" s="2" t="inlineStr">
        <is>
          <t>crawler_a</t>
        </is>
      </c>
      <c r="B2" s="2" t="inlineStr">
        <is>
          <t>textures/</t>
        </is>
      </c>
      <c r="C2" s="2" t="n">
        <v>256</v>
      </c>
      <c r="D2" s="2" t="n">
        <v>128</v>
      </c>
      <c r="E2" s="2" t="n">
        <v>4</v>
      </c>
      <c r="F2" s="2" t="n">
        <v>16</v>
      </c>
      <c r="G2" s="2" t="n">
        <v>13</v>
      </c>
      <c r="H2" s="2" t="inlineStr">
        <is>
          <t>Yes</t>
        </is>
      </c>
      <c r="I2" s="8">
        <f>C2*D2*E2/8/1024</f>
        <v/>
      </c>
      <c r="J2" s="2" t="inlineStr">
        <is>
          <t>CRAWLRA.TIM</t>
        </is>
      </c>
    </row>
    <row r="3">
      <c r="A3" s="2" t="inlineStr">
        <is>
          <t>crawler_b</t>
        </is>
      </c>
      <c r="B3" s="2" t="inlineStr">
        <is>
          <t>textures/</t>
        </is>
      </c>
      <c r="C3" s="2" t="n">
        <v>256</v>
      </c>
      <c r="D3" s="2" t="n">
        <v>128</v>
      </c>
      <c r="E3" s="2" t="n">
        <v>4</v>
      </c>
      <c r="F3" s="2" t="n">
        <v>16</v>
      </c>
      <c r="G3" s="2" t="n">
        <v>13</v>
      </c>
      <c r="H3" s="2" t="inlineStr">
        <is>
          <t>Yes</t>
        </is>
      </c>
      <c r="I3" s="8">
        <f>C3*D3*E3/8/1024</f>
        <v/>
      </c>
      <c r="J3" s="2" t="inlineStr">
        <is>
          <t>CRAWLRB.TIM</t>
        </is>
      </c>
    </row>
    <row r="4">
      <c r="A4" s="2" t="inlineStr">
        <is>
          <t>creep</t>
        </is>
      </c>
      <c r="B4" s="2" t="inlineStr">
        <is>
          <t>textures/</t>
        </is>
      </c>
      <c r="C4" s="2" t="n">
        <v>64</v>
      </c>
      <c r="D4" s="2" t="n">
        <v>64</v>
      </c>
      <c r="E4" s="2" t="n">
        <v>4</v>
      </c>
      <c r="F4" s="2" t="n">
        <v>16</v>
      </c>
      <c r="G4" s="2" t="n">
        <v>14</v>
      </c>
      <c r="H4" s="2" t="inlineStr">
        <is>
          <t>Yes</t>
        </is>
      </c>
      <c r="I4" s="8">
        <f>C4*D4*E4/8/1024</f>
        <v/>
      </c>
      <c r="J4" s="2" t="inlineStr">
        <is>
          <t>CREEP.TIM</t>
        </is>
      </c>
    </row>
    <row r="5">
      <c r="A5" s="2" t="inlineStr">
        <is>
          <t>demon_dog</t>
        </is>
      </c>
      <c r="B5" s="2" t="inlineStr">
        <is>
          <t>textures/</t>
        </is>
      </c>
      <c r="C5" s="2" t="n">
        <v>192</v>
      </c>
      <c r="D5" s="2" t="n">
        <v>64</v>
      </c>
      <c r="E5" s="2" t="n">
        <v>8</v>
      </c>
      <c r="F5" s="2" t="n">
        <v>256</v>
      </c>
      <c r="G5" s="2" t="n">
        <v>58</v>
      </c>
      <c r="H5" s="2" t="inlineStr">
        <is>
          <t>Yes</t>
        </is>
      </c>
      <c r="I5" s="8">
        <f>C5*D5*E5/8/1024</f>
        <v/>
      </c>
      <c r="J5" s="2" t="inlineStr">
        <is>
          <t>DDOG.TIM</t>
        </is>
      </c>
    </row>
    <row r="6">
      <c r="A6" s="2" t="inlineStr">
        <is>
          <t>gula_a</t>
        </is>
      </c>
      <c r="B6" s="2" t="inlineStr">
        <is>
          <t>textures/catacombs/</t>
        </is>
      </c>
      <c r="C6" s="2" t="n">
        <v>256</v>
      </c>
      <c r="D6" s="2" t="n">
        <v>128</v>
      </c>
      <c r="E6" s="2" t="n">
        <v>8</v>
      </c>
      <c r="F6" s="2" t="n">
        <v>256</v>
      </c>
      <c r="G6" s="2" t="n">
        <v>99</v>
      </c>
      <c r="H6" s="2" t="inlineStr">
        <is>
          <t>Yes</t>
        </is>
      </c>
      <c r="I6" s="8">
        <f>C6*D6*E6/8/1024</f>
        <v/>
      </c>
      <c r="J6" s="2" t="inlineStr">
        <is>
          <t>GULAA.TIM</t>
        </is>
      </c>
    </row>
    <row r="7">
      <c r="A7" s="2" t="inlineStr">
        <is>
          <t>gula_b</t>
        </is>
      </c>
      <c r="B7" s="2" t="inlineStr">
        <is>
          <t>textures/catacombs/</t>
        </is>
      </c>
      <c r="C7" s="2" t="n">
        <v>256</v>
      </c>
      <c r="D7" s="2" t="n">
        <v>128</v>
      </c>
      <c r="E7" s="2" t="n">
        <v>8</v>
      </c>
      <c r="F7" s="2" t="n">
        <v>256</v>
      </c>
      <c r="G7" s="2" t="n">
        <v>99</v>
      </c>
      <c r="H7" s="2" t="inlineStr">
        <is>
          <t>Yes</t>
        </is>
      </c>
      <c r="I7" s="8">
        <f>C7*D7*E7/8/1024</f>
        <v/>
      </c>
      <c r="J7" s="2" t="inlineStr">
        <is>
          <t>GULAB.TIM</t>
        </is>
      </c>
    </row>
    <row r="8">
      <c r="A8" s="2" t="inlineStr">
        <is>
          <t>hadad_idle_64</t>
        </is>
      </c>
      <c r="B8" s="2" t="inlineStr">
        <is>
          <t>textures/</t>
        </is>
      </c>
      <c r="C8" s="2" t="n">
        <v>128</v>
      </c>
      <c r="D8" s="2" t="n">
        <v>128</v>
      </c>
      <c r="E8" s="2" t="n">
        <v>4</v>
      </c>
      <c r="F8" s="2" t="n">
        <v>16</v>
      </c>
      <c r="G8" s="2" t="n">
        <v>13</v>
      </c>
      <c r="H8" s="2" t="inlineStr">
        <is>
          <t>Yes</t>
        </is>
      </c>
      <c r="I8" s="8">
        <f>C8*D8*E8/8/1024</f>
        <v/>
      </c>
      <c r="J8" s="2" t="inlineStr">
        <is>
          <t>HADIDLE.TIM</t>
        </is>
      </c>
    </row>
    <row r="9">
      <c r="A9" s="2" t="inlineStr">
        <is>
          <t>hadad_stp1_64</t>
        </is>
      </c>
      <c r="B9" s="2" t="inlineStr">
        <is>
          <t>textures/</t>
        </is>
      </c>
      <c r="C9" s="2" t="n">
        <v>128</v>
      </c>
      <c r="D9" s="2" t="n">
        <v>128</v>
      </c>
      <c r="E9" s="2" t="n">
        <v>4</v>
      </c>
      <c r="F9" s="2" t="n">
        <v>16</v>
      </c>
      <c r="G9" s="2" t="n">
        <v>14</v>
      </c>
      <c r="H9" s="2" t="inlineStr">
        <is>
          <t>Yes</t>
        </is>
      </c>
      <c r="I9" s="8">
        <f>C9*D9*E9/8/1024</f>
        <v/>
      </c>
      <c r="J9" s="2" t="inlineStr">
        <is>
          <t>HADSTP1.TIM</t>
        </is>
      </c>
    </row>
    <row r="10">
      <c r="A10" s="2" t="inlineStr">
        <is>
          <t>hadad_stp2_64</t>
        </is>
      </c>
      <c r="B10" s="2" t="inlineStr">
        <is>
          <t>textures/</t>
        </is>
      </c>
      <c r="C10" s="2" t="n">
        <v>128</v>
      </c>
      <c r="D10" s="2" t="n">
        <v>128</v>
      </c>
      <c r="E10" s="2" t="n">
        <v>4</v>
      </c>
      <c r="F10" s="2" t="n">
        <v>16</v>
      </c>
      <c r="G10" s="2" t="n">
        <v>13</v>
      </c>
      <c r="H10" s="2" t="inlineStr">
        <is>
          <t>Yes</t>
        </is>
      </c>
      <c r="I10" s="8">
        <f>C10*D10*E10/8/1024</f>
        <v/>
      </c>
      <c r="J10" s="2" t="inlineStr">
        <is>
          <t>HADSTP2.TIM</t>
        </is>
      </c>
    </row>
    <row r="11">
      <c r="A11" s="2" t="inlineStr">
        <is>
          <t>ls_atk</t>
        </is>
      </c>
      <c r="B11" s="2" t="inlineStr">
        <is>
          <t>textures/</t>
        </is>
      </c>
      <c r="C11" s="2" t="n">
        <v>128</v>
      </c>
      <c r="D11" s="2" t="n">
        <v>96</v>
      </c>
      <c r="E11" s="2" t="n">
        <v>4</v>
      </c>
      <c r="F11" s="2" t="n">
        <v>16</v>
      </c>
      <c r="G11" s="2" t="n">
        <v>12</v>
      </c>
      <c r="H11" s="2" t="inlineStr">
        <is>
          <t>Yes</t>
        </is>
      </c>
      <c r="I11" s="8">
        <f>C11*D11*E11/8/1024</f>
        <v/>
      </c>
      <c r="J11" s="2" t="inlineStr">
        <is>
          <t>LSATK.TIM</t>
        </is>
      </c>
    </row>
    <row r="12">
      <c r="A12" s="2" t="inlineStr">
        <is>
          <t>ls_idle</t>
        </is>
      </c>
      <c r="B12" s="2" t="inlineStr">
        <is>
          <t>textures/</t>
        </is>
      </c>
      <c r="C12" s="2" t="n">
        <v>64</v>
      </c>
      <c r="D12" s="2" t="n">
        <v>96</v>
      </c>
      <c r="E12" s="2" t="n">
        <v>4</v>
      </c>
      <c r="F12" s="2" t="n">
        <v>16</v>
      </c>
      <c r="G12" s="2" t="n">
        <v>12</v>
      </c>
      <c r="H12" s="2" t="inlineStr">
        <is>
          <t>Yes</t>
        </is>
      </c>
      <c r="I12" s="8">
        <f>C12*D12*E12/8/1024</f>
        <v/>
      </c>
      <c r="J12" s="2" t="inlineStr">
        <is>
          <t>LSIDLE.TIM</t>
        </is>
      </c>
    </row>
    <row r="13">
      <c r="A13" s="2" t="inlineStr">
        <is>
          <t>lumberer_a</t>
        </is>
      </c>
      <c r="B13" s="2" t="inlineStr">
        <is>
          <t>textures/</t>
        </is>
      </c>
      <c r="C13" s="2" t="n">
        <v>256</v>
      </c>
      <c r="D13" s="2" t="n">
        <v>128</v>
      </c>
      <c r="E13" s="2" t="n">
        <v>4</v>
      </c>
      <c r="F13" s="2" t="n">
        <v>16</v>
      </c>
      <c r="G13" s="2" t="n">
        <v>13</v>
      </c>
      <c r="H13" s="2" t="inlineStr">
        <is>
          <t>Yes</t>
        </is>
      </c>
      <c r="I13" s="8">
        <f>C13*D13*E13/8/1024</f>
        <v/>
      </c>
      <c r="J13" s="2" t="inlineStr">
        <is>
          <t>LUMBERA.TIM</t>
        </is>
      </c>
    </row>
    <row r="14">
      <c r="A14" s="2" t="inlineStr">
        <is>
          <t>lumberer_b</t>
        </is>
      </c>
      <c r="B14" s="2" t="inlineStr">
        <is>
          <t>textures/</t>
        </is>
      </c>
      <c r="C14" s="2" t="n">
        <v>256</v>
      </c>
      <c r="D14" s="2" t="n">
        <v>128</v>
      </c>
      <c r="E14" s="2" t="n">
        <v>4</v>
      </c>
      <c r="F14" s="2" t="n">
        <v>16</v>
      </c>
      <c r="G14" s="2" t="n">
        <v>14</v>
      </c>
      <c r="H14" s="2" t="inlineStr">
        <is>
          <t>Yes</t>
        </is>
      </c>
      <c r="I14" s="8">
        <f>C14*D14*E14/8/1024</f>
        <v/>
      </c>
      <c r="J14" s="2" t="inlineStr">
        <is>
          <t>LUMBERB.TIM</t>
        </is>
      </c>
    </row>
    <row r="15">
      <c r="A15" s="2" t="inlineStr">
        <is>
          <t>maggot</t>
        </is>
      </c>
      <c r="B15" s="2" t="inlineStr">
        <is>
          <t>textures/catacombs/</t>
        </is>
      </c>
      <c r="C15" s="2" t="n">
        <v>128</v>
      </c>
      <c r="D15" s="2" t="n">
        <v>64</v>
      </c>
      <c r="E15" s="2" t="n">
        <v>4</v>
      </c>
      <c r="F15" s="2" t="n">
        <v>16</v>
      </c>
      <c r="G15" s="2" t="n">
        <v>14</v>
      </c>
      <c r="H15" s="2" t="inlineStr">
        <is>
          <t>Yes</t>
        </is>
      </c>
      <c r="I15" s="8">
        <f>C15*D15*E15/8/1024</f>
        <v/>
      </c>
      <c r="J15" s="2" t="inlineStr">
        <is>
          <t>MAGGOT.TIM</t>
        </is>
      </c>
    </row>
    <row r="16">
      <c r="A16" s="2" t="inlineStr">
        <is>
          <t>mushy_behind</t>
        </is>
      </c>
      <c r="B16" s="2" t="inlineStr">
        <is>
          <t>textures/</t>
        </is>
      </c>
      <c r="C16" s="2" t="n">
        <v>96</v>
      </c>
      <c r="D16" s="2" t="n">
        <v>96</v>
      </c>
      <c r="E16" s="2" t="n">
        <v>8</v>
      </c>
      <c r="F16" s="2" t="n">
        <v>256</v>
      </c>
      <c r="G16" s="2" t="n">
        <v>202</v>
      </c>
      <c r="H16" s="2" t="inlineStr">
        <is>
          <t>Yes</t>
        </is>
      </c>
      <c r="I16" s="8">
        <f>C16*D16*E16/8/1024</f>
        <v/>
      </c>
      <c r="J16" s="2" t="inlineStr">
        <is>
          <t>MSHYBHND.TIM</t>
        </is>
      </c>
    </row>
    <row r="17">
      <c r="A17" s="2" t="inlineStr">
        <is>
          <t>mushy_closed</t>
        </is>
      </c>
      <c r="B17" s="2" t="inlineStr">
        <is>
          <t>textures/</t>
        </is>
      </c>
      <c r="C17" s="2" t="n">
        <v>96</v>
      </c>
      <c r="D17" s="2" t="n">
        <v>96</v>
      </c>
      <c r="E17" s="2" t="n">
        <v>8</v>
      </c>
      <c r="F17" s="2" t="n">
        <v>256</v>
      </c>
      <c r="G17" s="2" t="n">
        <v>229</v>
      </c>
      <c r="H17" s="2" t="inlineStr">
        <is>
          <t>Yes</t>
        </is>
      </c>
      <c r="I17" s="8">
        <f>C17*D17*E17/8/1024</f>
        <v/>
      </c>
      <c r="J17" s="2" t="inlineStr">
        <is>
          <t>MSHYCLSD.TIM</t>
        </is>
      </c>
    </row>
    <row r="18">
      <c r="A18" s="2" t="inlineStr">
        <is>
          <t>mushy_open</t>
        </is>
      </c>
      <c r="B18" s="2" t="inlineStr">
        <is>
          <t>textures/</t>
        </is>
      </c>
      <c r="C18" s="2" t="n">
        <v>96</v>
      </c>
      <c r="D18" s="2" t="n">
        <v>96</v>
      </c>
      <c r="E18" s="2" t="n">
        <v>8</v>
      </c>
      <c r="F18" s="2" t="n">
        <v>256</v>
      </c>
      <c r="G18" s="2" t="n">
        <v>215</v>
      </c>
      <c r="H18" s="2" t="inlineStr">
        <is>
          <t>Yes</t>
        </is>
      </c>
      <c r="I18" s="8">
        <f>C18*D18*E18/8/1024</f>
        <v/>
      </c>
      <c r="J18" s="2" t="inlineStr">
        <is>
          <t>MSHYOPEN.TIM</t>
        </is>
      </c>
    </row>
    <row r="19">
      <c r="A19" s="2" t="inlineStr">
        <is>
          <t>mushy_run</t>
        </is>
      </c>
      <c r="B19" s="2" t="inlineStr">
        <is>
          <t>textures/</t>
        </is>
      </c>
      <c r="C19" s="2" t="n">
        <v>96</v>
      </c>
      <c r="D19" s="2" t="n">
        <v>96</v>
      </c>
      <c r="E19" s="2" t="n">
        <v>8</v>
      </c>
      <c r="F19" s="2" t="n">
        <v>256</v>
      </c>
      <c r="G19" s="2" t="n">
        <v>193</v>
      </c>
      <c r="H19" s="2" t="inlineStr">
        <is>
          <t>Yes</t>
        </is>
      </c>
      <c r="I19" s="8">
        <f>C19*D19*E19/8/1024</f>
        <v/>
      </c>
      <c r="J19" s="2" t="inlineStr">
        <is>
          <t>MSHYRUN.TIM</t>
        </is>
      </c>
    </row>
    <row r="20">
      <c r="A20" s="2" t="inlineStr">
        <is>
          <t>rafflesia1</t>
        </is>
      </c>
      <c r="B20" s="2" t="inlineStr">
        <is>
          <t>textures/</t>
        </is>
      </c>
      <c r="C20" s="2" t="n">
        <v>128</v>
      </c>
      <c r="D20" s="2" t="n">
        <v>128</v>
      </c>
      <c r="E20" s="2" t="n">
        <v>4</v>
      </c>
      <c r="F20" s="2" t="n">
        <v>16</v>
      </c>
      <c r="G20" s="2" t="n">
        <v>13</v>
      </c>
      <c r="H20" s="2" t="inlineStr">
        <is>
          <t>Yes</t>
        </is>
      </c>
      <c r="I20" s="8">
        <f>C20*D20*E20/8/1024</f>
        <v/>
      </c>
      <c r="J20" s="2" t="inlineStr">
        <is>
          <t>RAFLSIA1.TIM</t>
        </is>
      </c>
    </row>
    <row r="21">
      <c r="A21" s="2" t="inlineStr">
        <is>
          <t>rafflesia2</t>
        </is>
      </c>
      <c r="B21" s="2" t="inlineStr">
        <is>
          <t>textures/</t>
        </is>
      </c>
      <c r="C21" s="2" t="n">
        <v>128</v>
      </c>
      <c r="D21" s="2" t="n">
        <v>128</v>
      </c>
      <c r="E21" s="2" t="n">
        <v>4</v>
      </c>
      <c r="F21" s="2" t="n">
        <v>16</v>
      </c>
      <c r="G21" s="2" t="n">
        <v>13</v>
      </c>
      <c r="H21" s="2" t="inlineStr">
        <is>
          <t>Yes</t>
        </is>
      </c>
      <c r="I21" s="8">
        <f>C21*D21*E21/8/1024</f>
        <v/>
      </c>
      <c r="J21" s="2" t="inlineStr">
        <is>
          <t>RAFLSIA2.TIM</t>
        </is>
      </c>
    </row>
    <row r="22">
      <c r="A22" s="2" t="inlineStr">
        <is>
          <t>spdr_rst</t>
        </is>
      </c>
      <c r="B22" s="2" t="inlineStr">
        <is>
          <t>textures/</t>
        </is>
      </c>
      <c r="C22" s="2" t="n">
        <v>128</v>
      </c>
      <c r="D22" s="2" t="n">
        <v>128</v>
      </c>
      <c r="E22" s="2" t="n">
        <v>8</v>
      </c>
      <c r="F22" s="2" t="n">
        <v>256</v>
      </c>
      <c r="G22" s="2" t="n">
        <v>207</v>
      </c>
      <c r="H22" s="2" t="inlineStr">
        <is>
          <t>Yes</t>
        </is>
      </c>
      <c r="I22" s="8">
        <f>C22*D22*E22/8/1024</f>
        <v/>
      </c>
      <c r="J22" s="2" t="inlineStr">
        <is>
          <t>SPDRRST.TIM</t>
        </is>
      </c>
    </row>
    <row r="23">
      <c r="A23" s="2" t="inlineStr">
        <is>
          <t>spdr_wk</t>
        </is>
      </c>
      <c r="B23" s="2" t="inlineStr">
        <is>
          <t>textures/</t>
        </is>
      </c>
      <c r="C23" s="2" t="n">
        <v>128</v>
      </c>
      <c r="D23" s="2" t="n">
        <v>128</v>
      </c>
      <c r="E23" s="2" t="n">
        <v>8</v>
      </c>
      <c r="F23" s="2" t="n">
        <v>256</v>
      </c>
      <c r="G23" s="2" t="n">
        <v>198</v>
      </c>
      <c r="H23" s="2" t="inlineStr">
        <is>
          <t>Yes</t>
        </is>
      </c>
      <c r="I23" s="8">
        <f>C23*D23*E23/8/1024</f>
        <v/>
      </c>
      <c r="J23" s="2" t="inlineStr">
        <is>
          <t>SPDRWK.TIM</t>
        </is>
      </c>
    </row>
    <row r="24">
      <c r="A24" s="2" t="inlineStr">
        <is>
          <t>tntcl_actv</t>
        </is>
      </c>
      <c r="B24" s="2" t="inlineStr">
        <is>
          <t>textures/</t>
        </is>
      </c>
      <c r="C24" s="2" t="n">
        <v>128</v>
      </c>
      <c r="D24" s="2" t="n">
        <v>64</v>
      </c>
      <c r="E24" s="2" t="n">
        <v>4</v>
      </c>
      <c r="F24" s="2" t="n">
        <v>16</v>
      </c>
      <c r="G24" s="2" t="n">
        <v>16</v>
      </c>
      <c r="H24" s="2" t="inlineStr">
        <is>
          <t>Yes</t>
        </is>
      </c>
      <c r="I24" s="8">
        <f>C24*D24*E24/8/1024</f>
        <v/>
      </c>
      <c r="J24" s="2" t="inlineStr">
        <is>
          <t>TNTCLACT.TIM</t>
        </is>
      </c>
    </row>
    <row r="25">
      <c r="A25" s="2" t="inlineStr">
        <is>
          <t>tntcl_idle</t>
        </is>
      </c>
      <c r="B25" s="2" t="inlineStr">
        <is>
          <t>textures/</t>
        </is>
      </c>
      <c r="C25" s="2" t="n">
        <v>64</v>
      </c>
      <c r="D25" s="2" t="n">
        <v>64</v>
      </c>
      <c r="E25" s="2" t="n">
        <v>4</v>
      </c>
      <c r="F25" s="2" t="n">
        <v>16</v>
      </c>
      <c r="G25" s="2" t="n">
        <v>16</v>
      </c>
      <c r="H25" s="2" t="inlineStr">
        <is>
          <t>Yes</t>
        </is>
      </c>
      <c r="I25" s="8">
        <f>C25*D25*E25/8/1024</f>
        <v/>
      </c>
      <c r="J25" s="2" t="inlineStr">
        <is>
          <t>TNTCLIDL.TIM</t>
        </is>
      </c>
    </row>
    <row r="26">
      <c r="A26" s="2" t="inlineStr">
        <is>
          <t>zombie_alert</t>
        </is>
      </c>
      <c r="B26" s="2" t="inlineStr">
        <is>
          <t>textures/</t>
        </is>
      </c>
      <c r="C26" s="2" t="n">
        <v>64</v>
      </c>
      <c r="D26" s="2" t="n">
        <v>128</v>
      </c>
      <c r="E26" s="2" t="n">
        <v>4</v>
      </c>
      <c r="F26" s="2" t="n">
        <v>16</v>
      </c>
      <c r="G26" s="2" t="n">
        <v>12</v>
      </c>
      <c r="H26" s="2" t="inlineStr">
        <is>
          <t>Yes</t>
        </is>
      </c>
      <c r="I26" s="8">
        <f>C26*D26*E26/8/1024</f>
        <v/>
      </c>
      <c r="J26" s="2" t="inlineStr">
        <is>
          <t>ZALERT.TIM</t>
        </is>
      </c>
    </row>
    <row r="27">
      <c r="A27" s="2" t="inlineStr">
        <is>
          <t>zombie_sleep</t>
        </is>
      </c>
      <c r="B27" s="2" t="inlineStr">
        <is>
          <t>textures/</t>
        </is>
      </c>
      <c r="C27" s="2" t="n">
        <v>64</v>
      </c>
      <c r="D27" s="2" t="n">
        <v>128</v>
      </c>
      <c r="E27" s="2" t="n">
        <v>4</v>
      </c>
      <c r="F27" s="2" t="n">
        <v>16</v>
      </c>
      <c r="G27" s="2" t="n">
        <v>12</v>
      </c>
      <c r="H27" s="2" t="inlineStr">
        <is>
          <t>Yes</t>
        </is>
      </c>
      <c r="I27" s="8">
        <f>C27*D27*E27/8/1024</f>
        <v/>
      </c>
      <c r="J27" s="2" t="inlineStr">
        <is>
          <t>ZSLEEP.TIM</t>
        </is>
      </c>
    </row>
    <row r="29">
      <c r="A29" s="6" t="inlineStr">
        <is>
          <t>Includes Gula, the Kennels one-off.</t>
        </is>
      </c>
    </row>
  </sheetData>
  <autoFilter ref="A1:J27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0" customWidth="1" min="5" max="5"/>
    <col width="13" customWidth="1" min="6" max="6"/>
    <col width="13" customWidth="1" min="7" max="7"/>
    <col width="12" customWidth="1" min="8" max="8"/>
    <col width="11" customWidth="1" min="9" max="9"/>
    <col width="24" customWidth="1" min="10" max="10"/>
  </cols>
  <sheetData>
    <row r="1">
      <c r="A1" s="7" t="inlineStr">
        <is>
          <t>Texture</t>
        </is>
      </c>
      <c r="B1" s="7" t="inlineStr">
        <is>
          <t>Folder</t>
        </is>
      </c>
      <c r="C1" s="7" t="inlineStr">
        <is>
          <t>Width (px)</t>
        </is>
      </c>
      <c r="D1" s="7" t="inlineStr">
        <is>
          <t>Height (px)</t>
        </is>
      </c>
      <c r="E1" s="7" t="inlineStr">
        <is>
          <t>Bit depth</t>
        </is>
      </c>
      <c r="F1" s="7" t="inlineStr">
        <is>
          <t>Palette slots</t>
        </is>
      </c>
      <c r="G1" s="7" t="inlineStr">
        <is>
          <t>Colours used</t>
        </is>
      </c>
      <c r="H1" s="7" t="inlineStr">
        <is>
          <t>Transparent</t>
        </is>
      </c>
      <c r="I1" s="7" t="inlineStr">
        <is>
          <t>VRAM (KB)</t>
        </is>
      </c>
      <c r="J1" s="7" t="inlineStr">
        <is>
          <t>Disc file</t>
        </is>
      </c>
    </row>
    <row r="2">
      <c r="A2" s="2" t="inlineStr">
        <is>
          <t>adapa_a</t>
        </is>
      </c>
      <c r="B2" s="2" t="inlineStr">
        <is>
          <t>textures/</t>
        </is>
      </c>
      <c r="C2" s="2" t="n">
        <v>256</v>
      </c>
      <c r="D2" s="2" t="n">
        <v>128</v>
      </c>
      <c r="E2" s="2" t="n">
        <v>4</v>
      </c>
      <c r="F2" s="2" t="n">
        <v>16</v>
      </c>
      <c r="G2" s="2" t="n">
        <v>10</v>
      </c>
      <c r="H2" s="2" t="inlineStr">
        <is>
          <t>Yes</t>
        </is>
      </c>
      <c r="I2" s="8">
        <f>C2*D2*E2/8/1024</f>
        <v/>
      </c>
      <c r="J2" s="2" t="inlineStr">
        <is>
          <t>ADAPAA.TIM</t>
        </is>
      </c>
    </row>
    <row r="3">
      <c r="A3" s="2" t="inlineStr">
        <is>
          <t>adapa_b</t>
        </is>
      </c>
      <c r="B3" s="2" t="inlineStr">
        <is>
          <t>textures/</t>
        </is>
      </c>
      <c r="C3" s="2" t="n">
        <v>256</v>
      </c>
      <c r="D3" s="2" t="n">
        <v>128</v>
      </c>
      <c r="E3" s="2" t="n">
        <v>4</v>
      </c>
      <c r="F3" s="2" t="n">
        <v>16</v>
      </c>
      <c r="G3" s="2" t="n">
        <v>10</v>
      </c>
      <c r="H3" s="2" t="inlineStr">
        <is>
          <t>Yes</t>
        </is>
      </c>
      <c r="I3" s="8">
        <f>C3*D3*E3/8/1024</f>
        <v/>
      </c>
      <c r="J3" s="2" t="inlineStr">
        <is>
          <t>ADAPAB.TIM</t>
        </is>
      </c>
    </row>
    <row r="4">
      <c r="A4" s="2" t="inlineStr">
        <is>
          <t>asag</t>
        </is>
      </c>
      <c r="B4" s="2" t="inlineStr">
        <is>
          <t>textures/</t>
        </is>
      </c>
      <c r="C4" s="2" t="n">
        <v>128</v>
      </c>
      <c r="D4" s="2" t="n">
        <v>128</v>
      </c>
      <c r="E4" s="2" t="n">
        <v>8</v>
      </c>
      <c r="F4" s="2" t="n">
        <v>256</v>
      </c>
      <c r="G4" s="2" t="n">
        <v>83</v>
      </c>
      <c r="H4" s="2" t="inlineStr">
        <is>
          <t>No</t>
        </is>
      </c>
      <c r="I4" s="8">
        <f>C4*D4*E4/8/1024</f>
        <v/>
      </c>
      <c r="J4" s="2" t="inlineStr">
        <is>
          <t>ASGSKIN.TIM</t>
        </is>
      </c>
    </row>
    <row r="5">
      <c r="A5" s="2" t="inlineStr">
        <is>
          <t>Boss Wall</t>
        </is>
      </c>
      <c r="B5" s="2" t="inlineStr">
        <is>
          <t>textures/</t>
        </is>
      </c>
      <c r="C5" s="2" t="n">
        <v>128</v>
      </c>
      <c r="D5" s="2" t="n">
        <v>128</v>
      </c>
      <c r="E5" s="2" t="n">
        <v>8</v>
      </c>
      <c r="F5" s="2" t="n">
        <v>256</v>
      </c>
      <c r="G5" s="2" t="n">
        <v>158</v>
      </c>
      <c r="H5" s="2" t="inlineStr">
        <is>
          <t>No</t>
        </is>
      </c>
      <c r="I5" s="8">
        <f>C5*D5*E5/8/1024</f>
        <v/>
      </c>
      <c r="J5" s="2" t="inlineStr">
        <is>
          <t>ASGWALL.TIM</t>
        </is>
      </c>
    </row>
    <row r="6">
      <c r="A6" s="2" t="inlineStr">
        <is>
          <t>lamashtu creep</t>
        </is>
      </c>
      <c r="B6" s="2" t="inlineStr">
        <is>
          <t>textures/</t>
        </is>
      </c>
      <c r="C6" s="2" t="n">
        <v>64</v>
      </c>
      <c r="D6" s="2" t="n">
        <v>64</v>
      </c>
      <c r="E6" s="2" t="n">
        <v>8</v>
      </c>
      <c r="F6" s="2" t="n">
        <v>256</v>
      </c>
      <c r="G6" s="2" t="n">
        <v>152</v>
      </c>
      <c r="H6" s="2" t="inlineStr">
        <is>
          <t>Yes</t>
        </is>
      </c>
      <c r="I6" s="8">
        <f>C6*D6*E6/8/1024</f>
        <v/>
      </c>
      <c r="J6" s="2" t="inlineStr">
        <is>
          <t>LMSCREEP.TIM</t>
        </is>
      </c>
    </row>
    <row r="7">
      <c r="A7" s="2" t="inlineStr">
        <is>
          <t>lamashtu</t>
        </is>
      </c>
      <c r="B7" s="2" t="inlineStr">
        <is>
          <t>textures/</t>
        </is>
      </c>
      <c r="C7" s="2" t="n">
        <v>128</v>
      </c>
      <c r="D7" s="2" t="n">
        <v>128</v>
      </c>
      <c r="E7" s="2" t="n">
        <v>4</v>
      </c>
      <c r="F7" s="2" t="n">
        <v>16</v>
      </c>
      <c r="G7" s="2" t="n">
        <v>16</v>
      </c>
      <c r="H7" s="2" t="inlineStr">
        <is>
          <t>No</t>
        </is>
      </c>
      <c r="I7" s="8">
        <f>C7*D7*E7/8/1024</f>
        <v/>
      </c>
      <c r="J7" s="2" t="inlineStr">
        <is>
          <t>LAMASHTU.TIM</t>
        </is>
      </c>
    </row>
    <row r="8">
      <c r="A8" s="2" t="inlineStr">
        <is>
          <t>mud</t>
        </is>
      </c>
      <c r="B8" s="2" t="inlineStr">
        <is>
          <t>textures/</t>
        </is>
      </c>
      <c r="C8" s="2" t="n">
        <v>128</v>
      </c>
      <c r="D8" s="2" t="n">
        <v>128</v>
      </c>
      <c r="E8" s="2" t="n">
        <v>8</v>
      </c>
      <c r="F8" s="2" t="n">
        <v>256</v>
      </c>
      <c r="G8" s="2" t="n">
        <v>25</v>
      </c>
      <c r="H8" s="2" t="inlineStr">
        <is>
          <t>No</t>
        </is>
      </c>
      <c r="I8" s="8">
        <f>C8*D8*E8/8/1024</f>
        <v/>
      </c>
      <c r="J8" s="2" t="inlineStr">
        <is>
          <t>ASGMUD.TIM</t>
        </is>
      </c>
    </row>
    <row r="9">
      <c r="A9" s="2" t="inlineStr">
        <is>
          <t>Rabisu tex</t>
        </is>
      </c>
      <c r="B9" s="2" t="inlineStr">
        <is>
          <t>textures/</t>
        </is>
      </c>
      <c r="C9" s="2" t="n">
        <v>128</v>
      </c>
      <c r="D9" s="2" t="n">
        <v>128</v>
      </c>
      <c r="E9" s="2" t="n">
        <v>8</v>
      </c>
      <c r="F9" s="2" t="n">
        <v>256</v>
      </c>
      <c r="G9" s="2" t="n">
        <v>118</v>
      </c>
      <c r="H9" s="2" t="inlineStr">
        <is>
          <t>No</t>
        </is>
      </c>
      <c r="I9" s="8">
        <f>C9*D9*E9/8/1024</f>
        <v/>
      </c>
      <c r="J9" s="2" t="inlineStr">
        <is>
          <t>RABISU.TIM</t>
        </is>
      </c>
    </row>
    <row r="11">
      <c r="A11" s="6" t="inlineStr">
        <is>
          <t>Rabisu, Asag (skin, mud and arena wall), Adapa (mini-boss), Lamashtu and the Creeps she spawns.</t>
        </is>
      </c>
    </row>
  </sheetData>
  <autoFilter ref="A1:J9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0" customWidth="1" min="5" max="5"/>
    <col width="13" customWidth="1" min="6" max="6"/>
    <col width="13" customWidth="1" min="7" max="7"/>
    <col width="12" customWidth="1" min="8" max="8"/>
    <col width="11" customWidth="1" min="9" max="9"/>
    <col width="24" customWidth="1" min="10" max="10"/>
  </cols>
  <sheetData>
    <row r="1">
      <c r="A1" s="7" t="inlineStr">
        <is>
          <t>Texture</t>
        </is>
      </c>
      <c r="B1" s="7" t="inlineStr">
        <is>
          <t>Folder</t>
        </is>
      </c>
      <c r="C1" s="7" t="inlineStr">
        <is>
          <t>Width (px)</t>
        </is>
      </c>
      <c r="D1" s="7" t="inlineStr">
        <is>
          <t>Height (px)</t>
        </is>
      </c>
      <c r="E1" s="7" t="inlineStr">
        <is>
          <t>Bit depth</t>
        </is>
      </c>
      <c r="F1" s="7" t="inlineStr">
        <is>
          <t>Palette slots</t>
        </is>
      </c>
      <c r="G1" s="7" t="inlineStr">
        <is>
          <t>Colours used</t>
        </is>
      </c>
      <c r="H1" s="7" t="inlineStr">
        <is>
          <t>Transparent</t>
        </is>
      </c>
      <c r="I1" s="7" t="inlineStr">
        <is>
          <t>VRAM (KB)</t>
        </is>
      </c>
      <c r="J1" s="7" t="inlineStr">
        <is>
          <t>Disc file</t>
        </is>
      </c>
    </row>
    <row r="2">
      <c r="A2" s="2" t="inlineStr">
        <is>
          <t>er_logo_128</t>
        </is>
      </c>
      <c r="B2" s="2" t="inlineStr">
        <is>
          <t>textures/menus/</t>
        </is>
      </c>
      <c r="C2" s="2" t="n">
        <v>128</v>
      </c>
      <c r="D2" s="2" t="n">
        <v>128</v>
      </c>
      <c r="E2" s="2" t="n">
        <v>4</v>
      </c>
      <c r="F2" s="2" t="n">
        <v>16</v>
      </c>
      <c r="G2" s="2" t="n">
        <v>13</v>
      </c>
      <c r="H2" s="2" t="inlineStr">
        <is>
          <t>Yes</t>
        </is>
      </c>
      <c r="I2" s="8">
        <f>C2*D2*E2/8/1024</f>
        <v/>
      </c>
      <c r="J2" s="2" t="inlineStr">
        <is>
          <t>ERLOGO.TIM</t>
        </is>
      </c>
    </row>
    <row r="3">
      <c r="A3" s="2" t="inlineStr">
        <is>
          <t>ghit</t>
        </is>
      </c>
      <c r="B3" s="2" t="inlineStr">
        <is>
          <t>textures/</t>
        </is>
      </c>
      <c r="C3" s="2" t="n">
        <v>16</v>
      </c>
      <c r="D3" s="2" t="n">
        <v>16</v>
      </c>
      <c r="E3" s="2" t="n">
        <v>4</v>
      </c>
      <c r="F3" s="2" t="n">
        <v>16</v>
      </c>
      <c r="G3" s="2" t="n">
        <v>5</v>
      </c>
      <c r="H3" s="2" t="inlineStr">
        <is>
          <t>Yes</t>
        </is>
      </c>
      <c r="I3" s="8">
        <f>C3*D3*E3/8/1024</f>
        <v/>
      </c>
      <c r="J3" s="2" t="inlineStr">
        <is>
          <t>GHIT.TIM</t>
        </is>
      </c>
    </row>
    <row r="4">
      <c r="A4" s="2" t="inlineStr">
        <is>
          <t>hud</t>
        </is>
      </c>
      <c r="B4" s="2" t="inlineStr">
        <is>
          <t>textures/</t>
        </is>
      </c>
      <c r="C4" s="2" t="n">
        <v>320</v>
      </c>
      <c r="D4" s="2" t="n">
        <v>56</v>
      </c>
      <c r="E4" s="2" t="n">
        <v>4</v>
      </c>
      <c r="F4" s="2" t="n">
        <v>16</v>
      </c>
      <c r="G4" s="2" t="n">
        <v>5</v>
      </c>
      <c r="H4" s="2" t="inlineStr">
        <is>
          <t>Yes</t>
        </is>
      </c>
      <c r="I4" s="8">
        <f>C4*D4*E4/8/1024</f>
        <v/>
      </c>
      <c r="J4" s="2" t="inlineStr">
        <is>
          <t>HUD.TIM</t>
        </is>
      </c>
    </row>
    <row r="5">
      <c r="A5" s="2" t="inlineStr">
        <is>
          <t>mansion</t>
        </is>
      </c>
      <c r="B5" s="2" t="inlineStr">
        <is>
          <t>textures/</t>
        </is>
      </c>
      <c r="C5" s="2" t="n">
        <v>128</v>
      </c>
      <c r="D5" s="2" t="n">
        <v>128</v>
      </c>
      <c r="E5" s="2" t="n">
        <v>8</v>
      </c>
      <c r="F5" s="2" t="n">
        <v>256</v>
      </c>
      <c r="G5" s="2" t="n">
        <v>114</v>
      </c>
      <c r="H5" s="2" t="inlineStr">
        <is>
          <t>Yes</t>
        </is>
      </c>
      <c r="I5" s="8">
        <f>C5*D5*E5/8/1024</f>
        <v/>
      </c>
      <c r="J5" s="2" t="inlineStr">
        <is>
          <t>MANSION.TIM</t>
        </is>
      </c>
    </row>
    <row r="6">
      <c r="A6" s="2" t="inlineStr">
        <is>
          <t>mist</t>
        </is>
      </c>
      <c r="B6" s="2" t="inlineStr">
        <is>
          <t>textures/</t>
        </is>
      </c>
      <c r="C6" s="2" t="n">
        <v>32</v>
      </c>
      <c r="D6" s="2" t="n">
        <v>32</v>
      </c>
      <c r="E6" s="2" t="n">
        <v>4</v>
      </c>
      <c r="F6" s="2" t="n">
        <v>16</v>
      </c>
      <c r="G6" s="2" t="n">
        <v>15</v>
      </c>
      <c r="H6" s="2" t="inlineStr">
        <is>
          <t>Yes</t>
        </is>
      </c>
      <c r="I6" s="8">
        <f>C6*D6*E6/8/1024</f>
        <v/>
      </c>
      <c r="J6" s="2" t="inlineStr">
        <is>
          <t>MIST.TIM</t>
        </is>
      </c>
    </row>
    <row r="7">
      <c r="A7" s="2" t="inlineStr">
        <is>
          <t>shadow</t>
        </is>
      </c>
      <c r="B7" s="2" t="inlineStr">
        <is>
          <t>textures/</t>
        </is>
      </c>
      <c r="C7" s="2" t="n">
        <v>64</v>
      </c>
      <c r="D7" s="2" t="n">
        <v>32</v>
      </c>
      <c r="E7" s="2" t="n">
        <v>4</v>
      </c>
      <c r="F7" s="2" t="n">
        <v>16</v>
      </c>
      <c r="G7" s="2" t="n">
        <v>4</v>
      </c>
      <c r="H7" s="2" t="inlineStr">
        <is>
          <t>Yes</t>
        </is>
      </c>
      <c r="I7" s="8">
        <f>C7*D7*E7/8/1024</f>
        <v/>
      </c>
      <c r="J7" s="2" t="inlineStr">
        <is>
          <t>SHADOW.TIM</t>
        </is>
      </c>
    </row>
    <row r="9">
      <c r="A9" s="6" t="inlineStr">
        <is>
          <t>mansion is the intro picture; er_logo_128 the splash logo; ghit the bullet-hit flash; shadow the blob under enemies; mist the Rafflesia / Pit mist.</t>
        </is>
      </c>
    </row>
  </sheetData>
  <autoFilter ref="A1:J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2026-10-16T20:04:42Z</dcterms:created>
  <dcterms:modified xsi:type="dcterms:W3CDTF">2026-10-16T20:04:42Z</dcterms:modified>
</cp:coreProperties>
</file>